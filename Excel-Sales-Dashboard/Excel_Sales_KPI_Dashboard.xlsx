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_-"/>
    <numFmt numFmtId="166" formatCode="mmm yyyy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1" pivotButton="0" quotePrefix="0" xfId="0"/>
    <xf numFmtId="0" fontId="3" fillId="2" borderId="1" applyAlignment="1" pivotButton="0" quotePrefix="0" xfId="0">
      <alignment horizontal="center"/>
    </xf>
    <xf numFmtId="1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'Dashboard'!$D$5:$D$28</f>
            </numRef>
          </cat>
          <val>
            <numRef>
              <f>'Dashboard'!$E$5:$E$28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29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N651" headerRowCount="1">
  <autoFilter ref="A1:N651"/>
  <tableColumns count="14">
    <tableColumn id="1" name="OrderID"/>
    <tableColumn id="2" name="OrderDate"/>
    <tableColumn id="3" name="Region"/>
    <tableColumn id="4" name="State"/>
    <tableColumn id="5" name="City"/>
    <tableColumn id="6" name="Channel"/>
    <tableColumn id="7" name="Segment"/>
    <tableColumn id="8" name="Category"/>
    <tableColumn id="9" name="Product"/>
    <tableColumn id="10" name="Units"/>
    <tableColumn id="11" name="UnitPrice"/>
    <tableColumn id="12" name="Revenue"/>
    <tableColumn id="13" name="Cost"/>
    <tableColumn id="14" name="Profi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6" customWidth="1" min="4" max="4"/>
    <col width="14" customWidth="1" min="5" max="5"/>
    <col width="10" customWidth="1" min="6" max="6"/>
    <col width="14" customWidth="1" min="7" max="7"/>
    <col width="16" customWidth="1" min="8" max="8"/>
    <col width="16" customWidth="1" min="9" max="9"/>
    <col width="7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Channel</t>
        </is>
      </c>
      <c r="G1" t="inlineStr">
        <is>
          <t>Segment</t>
        </is>
      </c>
      <c r="H1" t="inlineStr">
        <is>
          <t>Category</t>
        </is>
      </c>
      <c r="I1" t="inlineStr">
        <is>
          <t>Product</t>
        </is>
      </c>
      <c r="J1" t="inlineStr">
        <is>
          <t>Units</t>
        </is>
      </c>
      <c r="K1" t="inlineStr">
        <is>
          <t>UnitPrice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</row>
    <row r="2">
      <c r="A2" t="inlineStr">
        <is>
          <t>SO-2506-10000</t>
        </is>
      </c>
      <c r="B2" s="1" t="n">
        <v>45811</v>
      </c>
      <c r="C2" t="inlineStr">
        <is>
          <t>Midwest</t>
        </is>
      </c>
      <c r="D2" t="inlineStr">
        <is>
          <t>OH</t>
        </is>
      </c>
      <c r="E2" t="inlineStr">
        <is>
          <t>Columbus</t>
        </is>
      </c>
      <c r="F2" t="inlineStr">
        <is>
          <t>Online</t>
        </is>
      </c>
      <c r="G2" t="inlineStr">
        <is>
          <t>Consumer</t>
        </is>
      </c>
      <c r="H2" t="inlineStr">
        <is>
          <t>Technology</t>
        </is>
      </c>
      <c r="I2" t="inlineStr">
        <is>
          <t>Mouse</t>
        </is>
      </c>
      <c r="J2" s="2" t="n">
        <v>2</v>
      </c>
      <c r="K2" s="3" t="n">
        <v>17.43</v>
      </c>
      <c r="L2" s="3" t="n">
        <v>34.86</v>
      </c>
      <c r="M2" s="3" t="n">
        <v>23.21</v>
      </c>
      <c r="N2" s="3" t="n">
        <v>11.65</v>
      </c>
    </row>
    <row r="3">
      <c r="A3" t="inlineStr">
        <is>
          <t>SO-2408-10001</t>
        </is>
      </c>
      <c r="B3" s="1" t="n">
        <v>45520</v>
      </c>
      <c r="C3" t="inlineStr">
        <is>
          <t>South</t>
        </is>
      </c>
      <c r="D3" t="inlineStr">
        <is>
          <t>TN</t>
        </is>
      </c>
      <c r="E3" t="inlineStr">
        <is>
          <t>Nashville</t>
        </is>
      </c>
      <c r="F3" t="inlineStr">
        <is>
          <t>Partner</t>
        </is>
      </c>
      <c r="G3" t="inlineStr">
        <is>
          <t>Small Business</t>
        </is>
      </c>
      <c r="H3" t="inlineStr">
        <is>
          <t>Technology</t>
        </is>
      </c>
      <c r="I3" t="inlineStr">
        <is>
          <t>Mouse</t>
        </is>
      </c>
      <c r="J3" s="2" t="n">
        <v>4</v>
      </c>
      <c r="K3" s="3" t="n">
        <v>18.43</v>
      </c>
      <c r="L3" s="3" t="n">
        <v>73.72</v>
      </c>
      <c r="M3" s="3" t="n">
        <v>45.02</v>
      </c>
      <c r="N3" s="3" t="n">
        <v>28.7</v>
      </c>
    </row>
    <row r="4">
      <c r="A4" t="inlineStr">
        <is>
          <t>SO-2404-10002</t>
        </is>
      </c>
      <c r="B4" s="1" t="n">
        <v>45412</v>
      </c>
      <c r="C4" t="inlineStr">
        <is>
          <t>South</t>
        </is>
      </c>
      <c r="D4" t="inlineStr">
        <is>
          <t>TN</t>
        </is>
      </c>
      <c r="E4" t="inlineStr">
        <is>
          <t>Nashville</t>
        </is>
      </c>
      <c r="F4" t="inlineStr">
        <is>
          <t>Partner</t>
        </is>
      </c>
      <c r="G4" t="inlineStr">
        <is>
          <t>Corporate</t>
        </is>
      </c>
      <c r="H4" t="inlineStr">
        <is>
          <t>Office Supplies</t>
        </is>
      </c>
      <c r="I4" t="inlineStr">
        <is>
          <t>Pens</t>
        </is>
      </c>
      <c r="J4" s="2" t="n">
        <v>4</v>
      </c>
      <c r="K4" s="3" t="n">
        <v>3.88</v>
      </c>
      <c r="L4" s="3" t="n">
        <v>15.52</v>
      </c>
      <c r="M4" s="3" t="n">
        <v>10.53</v>
      </c>
      <c r="N4" s="3" t="n">
        <v>4.99</v>
      </c>
    </row>
    <row r="5">
      <c r="A5" t="inlineStr">
        <is>
          <t>SO-2407-10003</t>
        </is>
      </c>
      <c r="B5" s="1" t="n">
        <v>45502</v>
      </c>
      <c r="C5" t="inlineStr">
        <is>
          <t>Northeast</t>
        </is>
      </c>
      <c r="D5" t="inlineStr">
        <is>
          <t>NY</t>
        </is>
      </c>
      <c r="E5" t="inlineStr">
        <is>
          <t>New York</t>
        </is>
      </c>
      <c r="F5" t="inlineStr">
        <is>
          <t>In-Store</t>
        </is>
      </c>
      <c r="G5" t="inlineStr">
        <is>
          <t>Small Business</t>
        </is>
      </c>
      <c r="H5" t="inlineStr">
        <is>
          <t>Furniture</t>
        </is>
      </c>
      <c r="I5" t="inlineStr">
        <is>
          <t>Standing Desk</t>
        </is>
      </c>
      <c r="J5" s="2" t="n">
        <v>1</v>
      </c>
      <c r="K5" s="3" t="n">
        <v>288.51</v>
      </c>
      <c r="L5" s="3" t="n">
        <v>288.51</v>
      </c>
      <c r="M5" s="3" t="n">
        <v>170.26</v>
      </c>
      <c r="N5" s="3" t="n">
        <v>118.25</v>
      </c>
    </row>
    <row r="6">
      <c r="A6" t="inlineStr">
        <is>
          <t>SO-2403-10004</t>
        </is>
      </c>
      <c r="B6" s="1" t="n">
        <v>45375</v>
      </c>
      <c r="C6" t="inlineStr">
        <is>
          <t>West</t>
        </is>
      </c>
      <c r="D6" t="inlineStr">
        <is>
          <t>AZ</t>
        </is>
      </c>
      <c r="E6" t="inlineStr">
        <is>
          <t>Phoenix</t>
        </is>
      </c>
      <c r="F6" t="inlineStr">
        <is>
          <t>Partner</t>
        </is>
      </c>
      <c r="G6" t="inlineStr">
        <is>
          <t>Corporate</t>
        </is>
      </c>
      <c r="H6" t="inlineStr">
        <is>
          <t>Technology</t>
        </is>
      </c>
      <c r="I6" t="inlineStr">
        <is>
          <t>Laptop Stand</t>
        </is>
      </c>
      <c r="J6" s="2" t="n">
        <v>4</v>
      </c>
      <c r="K6" s="3" t="n">
        <v>28.74</v>
      </c>
      <c r="L6" s="3" t="n">
        <v>114.96</v>
      </c>
      <c r="M6" s="3" t="n">
        <v>72.7</v>
      </c>
      <c r="N6" s="3" t="n">
        <v>42.26</v>
      </c>
    </row>
    <row r="7">
      <c r="A7" t="inlineStr">
        <is>
          <t>SO-2412-10005</t>
        </is>
      </c>
      <c r="B7" s="1" t="n">
        <v>45642</v>
      </c>
      <c r="C7" t="inlineStr">
        <is>
          <t>West</t>
        </is>
      </c>
      <c r="D7" t="inlineStr">
        <is>
          <t>AZ</t>
        </is>
      </c>
      <c r="E7" t="inlineStr">
        <is>
          <t>Phoenix</t>
        </is>
      </c>
      <c r="F7" t="inlineStr">
        <is>
          <t>Online</t>
        </is>
      </c>
      <c r="G7" t="inlineStr">
        <is>
          <t>Corporate</t>
        </is>
      </c>
      <c r="H7" t="inlineStr">
        <is>
          <t>Furniture</t>
        </is>
      </c>
      <c r="I7" t="inlineStr">
        <is>
          <t>Filing Cabinet</t>
        </is>
      </c>
      <c r="J7" s="2" t="n">
        <v>5</v>
      </c>
      <c r="K7" s="3" t="n">
        <v>149.81</v>
      </c>
      <c r="L7" s="3" t="n">
        <v>749.05</v>
      </c>
      <c r="M7" s="3" t="n">
        <v>487.69</v>
      </c>
      <c r="N7" s="3" t="n">
        <v>261.36</v>
      </c>
    </row>
    <row r="8">
      <c r="A8" t="inlineStr">
        <is>
          <t>SO-2512-10006</t>
        </is>
      </c>
      <c r="B8" s="1" t="n">
        <v>46003</v>
      </c>
      <c r="C8" t="inlineStr">
        <is>
          <t>West</t>
        </is>
      </c>
      <c r="D8" t="inlineStr">
        <is>
          <t>CA</t>
        </is>
      </c>
      <c r="E8" t="inlineStr">
        <is>
          <t>Los Angeles</t>
        </is>
      </c>
      <c r="F8" t="inlineStr">
        <is>
          <t>In-Store</t>
        </is>
      </c>
      <c r="G8" t="inlineStr">
        <is>
          <t>Small Business</t>
        </is>
      </c>
      <c r="H8" t="inlineStr">
        <is>
          <t>Furniture</t>
        </is>
      </c>
      <c r="I8" t="inlineStr">
        <is>
          <t>Desk Chair</t>
        </is>
      </c>
      <c r="J8" s="2" t="n">
        <v>4</v>
      </c>
      <c r="K8" s="3" t="n">
        <v>140.31</v>
      </c>
      <c r="L8" s="3" t="n">
        <v>561.24</v>
      </c>
      <c r="M8" s="3" t="n">
        <v>355.45</v>
      </c>
      <c r="N8" s="3" t="n">
        <v>205.79</v>
      </c>
    </row>
    <row r="9">
      <c r="A9" t="inlineStr">
        <is>
          <t>SO-2512-10007</t>
        </is>
      </c>
      <c r="B9" s="1" t="n">
        <v>46010</v>
      </c>
      <c r="C9" t="inlineStr">
        <is>
          <t>West</t>
        </is>
      </c>
      <c r="D9" t="inlineStr">
        <is>
          <t>CO</t>
        </is>
      </c>
      <c r="E9" t="inlineStr">
        <is>
          <t>Denver</t>
        </is>
      </c>
      <c r="F9" t="inlineStr">
        <is>
          <t>In-Store</t>
        </is>
      </c>
      <c r="G9" t="inlineStr">
        <is>
          <t>Small Business</t>
        </is>
      </c>
      <c r="H9" t="inlineStr">
        <is>
          <t>Office Supplies</t>
        </is>
      </c>
      <c r="I9" t="inlineStr">
        <is>
          <t>Paper</t>
        </is>
      </c>
      <c r="J9" s="2" t="n">
        <v>3</v>
      </c>
      <c r="K9" s="3" t="n">
        <v>7.92</v>
      </c>
      <c r="L9" s="3" t="n">
        <v>23.76</v>
      </c>
      <c r="M9" s="3" t="n">
        <v>14.76</v>
      </c>
      <c r="N9" s="3" t="n">
        <v>9</v>
      </c>
    </row>
    <row r="10">
      <c r="A10" t="inlineStr">
        <is>
          <t>SO-2509-10008</t>
        </is>
      </c>
      <c r="B10" s="1" t="n">
        <v>45917</v>
      </c>
      <c r="C10" t="inlineStr">
        <is>
          <t>West</t>
        </is>
      </c>
      <c r="D10" t="inlineStr">
        <is>
          <t>AZ</t>
        </is>
      </c>
      <c r="E10" t="inlineStr">
        <is>
          <t>Phoenix</t>
        </is>
      </c>
      <c r="F10" t="inlineStr">
        <is>
          <t>Online</t>
        </is>
      </c>
      <c r="G10" t="inlineStr">
        <is>
          <t>Corporate</t>
        </is>
      </c>
      <c r="H10" t="inlineStr">
        <is>
          <t>Furniture</t>
        </is>
      </c>
      <c r="I10" t="inlineStr">
        <is>
          <t>Filing Cabinet</t>
        </is>
      </c>
      <c r="J10" s="2" t="n">
        <v>4</v>
      </c>
      <c r="K10" s="3" t="n">
        <v>178.57</v>
      </c>
      <c r="L10" s="3" t="n">
        <v>714.28</v>
      </c>
      <c r="M10" s="3" t="n">
        <v>457.45</v>
      </c>
      <c r="N10" s="3" t="n">
        <v>256.83</v>
      </c>
    </row>
    <row r="11">
      <c r="A11" t="inlineStr">
        <is>
          <t>SO-2406-10009</t>
        </is>
      </c>
      <c r="B11" s="1" t="n">
        <v>45462</v>
      </c>
      <c r="C11" t="inlineStr">
        <is>
          <t>South</t>
        </is>
      </c>
      <c r="D11" t="inlineStr">
        <is>
          <t>AL</t>
        </is>
      </c>
      <c r="E11" t="inlineStr">
        <is>
          <t>Birmingham</t>
        </is>
      </c>
      <c r="F11" t="inlineStr">
        <is>
          <t>In-Store</t>
        </is>
      </c>
      <c r="G11" t="inlineStr">
        <is>
          <t>Corporate</t>
        </is>
      </c>
      <c r="H11" t="inlineStr">
        <is>
          <t>Technology</t>
        </is>
      </c>
      <c r="I11" t="inlineStr">
        <is>
          <t>Keyboard</t>
        </is>
      </c>
      <c r="J11" s="2" t="n">
        <v>3</v>
      </c>
      <c r="K11" s="3" t="n">
        <v>42.85</v>
      </c>
      <c r="L11" s="3" t="n">
        <v>128.55</v>
      </c>
      <c r="M11" s="3" t="n">
        <v>98.34</v>
      </c>
      <c r="N11" s="3" t="n">
        <v>30.21</v>
      </c>
    </row>
    <row r="12">
      <c r="A12" t="inlineStr">
        <is>
          <t>SO-2408-10010</t>
        </is>
      </c>
      <c r="B12" s="1" t="n">
        <v>45528</v>
      </c>
      <c r="C12" t="inlineStr">
        <is>
          <t>Midwest</t>
        </is>
      </c>
      <c r="D12" t="inlineStr">
        <is>
          <t>OH</t>
        </is>
      </c>
      <c r="E12" t="inlineStr">
        <is>
          <t>Columbus</t>
        </is>
      </c>
      <c r="F12" t="inlineStr">
        <is>
          <t>Online</t>
        </is>
      </c>
      <c r="G12" t="inlineStr">
        <is>
          <t>Consumer</t>
        </is>
      </c>
      <c r="H12" t="inlineStr">
        <is>
          <t>Technology</t>
        </is>
      </c>
      <c r="I12" t="inlineStr">
        <is>
          <t>Monitor</t>
        </is>
      </c>
      <c r="J12" s="2" t="n">
        <v>4</v>
      </c>
      <c r="K12" s="3" t="n">
        <v>191.13</v>
      </c>
      <c r="L12" s="3" t="n">
        <v>764.52</v>
      </c>
      <c r="M12" s="3" t="n">
        <v>552.66</v>
      </c>
      <c r="N12" s="3" t="n">
        <v>211.86</v>
      </c>
    </row>
    <row r="13">
      <c r="A13" t="inlineStr">
        <is>
          <t>SO-2405-10011</t>
        </is>
      </c>
      <c r="B13" s="1" t="n">
        <v>45441</v>
      </c>
      <c r="C13" t="inlineStr">
        <is>
          <t>Northeast</t>
        </is>
      </c>
      <c r="D13" t="inlineStr">
        <is>
          <t>MA</t>
        </is>
      </c>
      <c r="E13" t="inlineStr">
        <is>
          <t>Boston</t>
        </is>
      </c>
      <c r="F13" t="inlineStr">
        <is>
          <t>In-Store</t>
        </is>
      </c>
      <c r="G13" t="inlineStr">
        <is>
          <t>Small Business</t>
        </is>
      </c>
      <c r="H13" t="inlineStr">
        <is>
          <t>Office Supplies</t>
        </is>
      </c>
      <c r="I13" t="inlineStr">
        <is>
          <t>Pens</t>
        </is>
      </c>
      <c r="J13" s="2" t="n">
        <v>4</v>
      </c>
      <c r="K13" s="3" t="n">
        <v>3.83</v>
      </c>
      <c r="L13" s="3" t="n">
        <v>15.32</v>
      </c>
      <c r="M13" s="3" t="n">
        <v>10.34</v>
      </c>
      <c r="N13" s="3" t="n">
        <v>4.98</v>
      </c>
    </row>
    <row r="14">
      <c r="A14" t="inlineStr">
        <is>
          <t>SO-2507-10012</t>
        </is>
      </c>
      <c r="B14" s="1" t="n">
        <v>45864</v>
      </c>
      <c r="C14" t="inlineStr">
        <is>
          <t>Midwest</t>
        </is>
      </c>
      <c r="D14" t="inlineStr">
        <is>
          <t>MI</t>
        </is>
      </c>
      <c r="E14" t="inlineStr">
        <is>
          <t>Detroit</t>
        </is>
      </c>
      <c r="F14" t="inlineStr">
        <is>
          <t>In-Store</t>
        </is>
      </c>
      <c r="G14" t="inlineStr">
        <is>
          <t>Corporate</t>
        </is>
      </c>
      <c r="H14" t="inlineStr">
        <is>
          <t>Office Supplies</t>
        </is>
      </c>
      <c r="I14" t="inlineStr">
        <is>
          <t>Paper</t>
        </is>
      </c>
      <c r="J14" s="2" t="n">
        <v>1</v>
      </c>
      <c r="K14" s="3" t="n">
        <v>6.9</v>
      </c>
      <c r="L14" s="3" t="n">
        <v>6.9</v>
      </c>
      <c r="M14" s="3" t="n">
        <v>4.7</v>
      </c>
      <c r="N14" s="3" t="n">
        <v>2.2</v>
      </c>
    </row>
    <row r="15">
      <c r="A15" t="inlineStr">
        <is>
          <t>SO-2406-10013</t>
        </is>
      </c>
      <c r="B15" s="1" t="n">
        <v>45458</v>
      </c>
      <c r="C15" t="inlineStr">
        <is>
          <t>West</t>
        </is>
      </c>
      <c r="D15" t="inlineStr">
        <is>
          <t>CO</t>
        </is>
      </c>
      <c r="E15" t="inlineStr">
        <is>
          <t>Denver</t>
        </is>
      </c>
      <c r="F15" t="inlineStr">
        <is>
          <t>Online</t>
        </is>
      </c>
      <c r="G15" t="inlineStr">
        <is>
          <t>Corporate</t>
        </is>
      </c>
      <c r="H15" t="inlineStr">
        <is>
          <t>Office Supplies</t>
        </is>
      </c>
      <c r="I15" t="inlineStr">
        <is>
          <t>Stapler</t>
        </is>
      </c>
      <c r="J15" s="2" t="n">
        <v>2</v>
      </c>
      <c r="K15" s="3" t="n">
        <v>13.51</v>
      </c>
      <c r="L15" s="3" t="n">
        <v>27.02</v>
      </c>
      <c r="M15" s="3" t="n">
        <v>15.11</v>
      </c>
      <c r="N15" s="3" t="n">
        <v>11.91</v>
      </c>
    </row>
    <row r="16">
      <c r="A16" t="inlineStr">
        <is>
          <t>SO-2407-10014</t>
        </is>
      </c>
      <c r="B16" s="1" t="n">
        <v>45504</v>
      </c>
      <c r="C16" t="inlineStr">
        <is>
          <t>South</t>
        </is>
      </c>
      <c r="D16" t="inlineStr">
        <is>
          <t>GA</t>
        </is>
      </c>
      <c r="E16" t="inlineStr">
        <is>
          <t>Atlanta</t>
        </is>
      </c>
      <c r="F16" t="inlineStr">
        <is>
          <t>Partner</t>
        </is>
      </c>
      <c r="G16" t="inlineStr">
        <is>
          <t>Corporate</t>
        </is>
      </c>
      <c r="H16" t="inlineStr">
        <is>
          <t>Office Supplies</t>
        </is>
      </c>
      <c r="I16" t="inlineStr">
        <is>
          <t>Pens</t>
        </is>
      </c>
      <c r="J16" s="2" t="n">
        <v>3</v>
      </c>
      <c r="K16" s="3" t="n">
        <v>4.54</v>
      </c>
      <c r="L16" s="3" t="n">
        <v>13.62</v>
      </c>
      <c r="M16" s="3" t="n">
        <v>9.43</v>
      </c>
      <c r="N16" s="3" t="n">
        <v>4.19</v>
      </c>
    </row>
    <row r="17">
      <c r="A17" t="inlineStr">
        <is>
          <t>SO-2505-10015</t>
        </is>
      </c>
      <c r="B17" s="1" t="n">
        <v>45783</v>
      </c>
      <c r="C17" t="inlineStr">
        <is>
          <t>Northeast</t>
        </is>
      </c>
      <c r="D17" t="inlineStr">
        <is>
          <t>PA</t>
        </is>
      </c>
      <c r="E17" t="inlineStr">
        <is>
          <t>Philadelphia</t>
        </is>
      </c>
      <c r="F17" t="inlineStr">
        <is>
          <t>In-Store</t>
        </is>
      </c>
      <c r="G17" t="inlineStr">
        <is>
          <t>Corporate</t>
        </is>
      </c>
      <c r="H17" t="inlineStr">
        <is>
          <t>Technology</t>
        </is>
      </c>
      <c r="I17" t="inlineStr">
        <is>
          <t>Monitor</t>
        </is>
      </c>
      <c r="J17" s="2" t="n">
        <v>2</v>
      </c>
      <c r="K17" s="3" t="n">
        <v>178.59</v>
      </c>
      <c r="L17" s="3" t="n">
        <v>357.18</v>
      </c>
      <c r="M17" s="3" t="n">
        <v>245.69</v>
      </c>
      <c r="N17" s="3" t="n">
        <v>111.49</v>
      </c>
    </row>
    <row r="18">
      <c r="A18" t="inlineStr">
        <is>
          <t>SO-2407-10016</t>
        </is>
      </c>
      <c r="B18" s="1" t="n">
        <v>45502</v>
      </c>
      <c r="C18" t="inlineStr">
        <is>
          <t>South</t>
        </is>
      </c>
      <c r="D18" t="inlineStr">
        <is>
          <t>AL</t>
        </is>
      </c>
      <c r="E18" t="inlineStr">
        <is>
          <t>Birmingham</t>
        </is>
      </c>
      <c r="F18" t="inlineStr">
        <is>
          <t>Partner</t>
        </is>
      </c>
      <c r="G18" t="inlineStr">
        <is>
          <t>Corporate</t>
        </is>
      </c>
      <c r="H18" t="inlineStr">
        <is>
          <t>Office Supplies</t>
        </is>
      </c>
      <c r="I18" t="inlineStr">
        <is>
          <t>Binders</t>
        </is>
      </c>
      <c r="J18" s="2" t="n">
        <v>5</v>
      </c>
      <c r="K18" s="3" t="n">
        <v>10.71</v>
      </c>
      <c r="L18" s="3" t="n">
        <v>53.55</v>
      </c>
      <c r="M18" s="3" t="n">
        <v>33.3</v>
      </c>
      <c r="N18" s="3" t="n">
        <v>20.25</v>
      </c>
    </row>
    <row r="19">
      <c r="A19" t="inlineStr">
        <is>
          <t>SO-2501-10017</t>
        </is>
      </c>
      <c r="B19" s="1" t="n">
        <v>45667</v>
      </c>
      <c r="C19" t="inlineStr">
        <is>
          <t>Northeast</t>
        </is>
      </c>
      <c r="D19" t="inlineStr">
        <is>
          <t>NY</t>
        </is>
      </c>
      <c r="E19" t="inlineStr">
        <is>
          <t>New York</t>
        </is>
      </c>
      <c r="F19" t="inlineStr">
        <is>
          <t>Online</t>
        </is>
      </c>
      <c r="G19" t="inlineStr">
        <is>
          <t>Corporate</t>
        </is>
      </c>
      <c r="H19" t="inlineStr">
        <is>
          <t>Furniture</t>
        </is>
      </c>
      <c r="I19" t="inlineStr">
        <is>
          <t>Bookshelf</t>
        </is>
      </c>
      <c r="J19" s="2" t="n">
        <v>4</v>
      </c>
      <c r="K19" s="3" t="n">
        <v>102.91</v>
      </c>
      <c r="L19" s="3" t="n">
        <v>411.64</v>
      </c>
      <c r="M19" s="3" t="n">
        <v>257.02</v>
      </c>
      <c r="N19" s="3" t="n">
        <v>154.62</v>
      </c>
    </row>
    <row r="20">
      <c r="A20" t="inlineStr">
        <is>
          <t>SO-2409-10018</t>
        </is>
      </c>
      <c r="B20" s="1" t="n">
        <v>45537</v>
      </c>
      <c r="C20" t="inlineStr">
        <is>
          <t>Northeast</t>
        </is>
      </c>
      <c r="D20" t="inlineStr">
        <is>
          <t>PA</t>
        </is>
      </c>
      <c r="E20" t="inlineStr">
        <is>
          <t>Philadelphia</t>
        </is>
      </c>
      <c r="F20" t="inlineStr">
        <is>
          <t>In-Store</t>
        </is>
      </c>
      <c r="G20" t="inlineStr">
        <is>
          <t>Small Business</t>
        </is>
      </c>
      <c r="H20" t="inlineStr">
        <is>
          <t>Furniture</t>
        </is>
      </c>
      <c r="I20" t="inlineStr">
        <is>
          <t>Standing Desk</t>
        </is>
      </c>
      <c r="J20" s="2" t="n">
        <v>2</v>
      </c>
      <c r="K20" s="3" t="n">
        <v>310.18</v>
      </c>
      <c r="L20" s="3" t="n">
        <v>620.36</v>
      </c>
      <c r="M20" s="3" t="n">
        <v>380.39</v>
      </c>
      <c r="N20" s="3" t="n">
        <v>239.97</v>
      </c>
    </row>
    <row r="21">
      <c r="A21" t="inlineStr">
        <is>
          <t>SO-2409-10019</t>
        </is>
      </c>
      <c r="B21" s="1" t="n">
        <v>45557</v>
      </c>
      <c r="C21" t="inlineStr">
        <is>
          <t>Northeast</t>
        </is>
      </c>
      <c r="D21" t="inlineStr">
        <is>
          <t>MA</t>
        </is>
      </c>
      <c r="E21" t="inlineStr">
        <is>
          <t>Boston</t>
        </is>
      </c>
      <c r="F21" t="inlineStr">
        <is>
          <t>Online</t>
        </is>
      </c>
      <c r="G21" t="inlineStr">
        <is>
          <t>Small Business</t>
        </is>
      </c>
      <c r="H21" t="inlineStr">
        <is>
          <t>Furniture</t>
        </is>
      </c>
      <c r="I21" t="inlineStr">
        <is>
          <t>Filing Cabinet</t>
        </is>
      </c>
      <c r="J21" s="2" t="n">
        <v>2</v>
      </c>
      <c r="K21" s="3" t="n">
        <v>153.06</v>
      </c>
      <c r="L21" s="3" t="n">
        <v>306.12</v>
      </c>
      <c r="M21" s="3" t="n">
        <v>192.09</v>
      </c>
      <c r="N21" s="3" t="n">
        <v>114.03</v>
      </c>
    </row>
    <row r="22">
      <c r="A22" t="inlineStr">
        <is>
          <t>SO-2407-10020</t>
        </is>
      </c>
      <c r="B22" s="1" t="n">
        <v>45493</v>
      </c>
      <c r="C22" t="inlineStr">
        <is>
          <t>Midwest</t>
        </is>
      </c>
      <c r="D22" t="inlineStr">
        <is>
          <t>MN</t>
        </is>
      </c>
      <c r="E22" t="inlineStr">
        <is>
          <t>Minneapolis</t>
        </is>
      </c>
      <c r="F22" t="inlineStr">
        <is>
          <t>In-Store</t>
        </is>
      </c>
      <c r="G22" t="inlineStr">
        <is>
          <t>Consumer</t>
        </is>
      </c>
      <c r="H22" t="inlineStr">
        <is>
          <t>Furniture</t>
        </is>
      </c>
      <c r="I22" t="inlineStr">
        <is>
          <t>Bookshelf</t>
        </is>
      </c>
      <c r="J22" s="2" t="n">
        <v>9</v>
      </c>
      <c r="K22" s="3" t="n">
        <v>102.27</v>
      </c>
      <c r="L22" s="3" t="n">
        <v>920.4299999999999</v>
      </c>
      <c r="M22" s="3" t="n">
        <v>569.34</v>
      </c>
      <c r="N22" s="3" t="n">
        <v>351.09</v>
      </c>
    </row>
    <row r="23">
      <c r="A23" t="inlineStr">
        <is>
          <t>SO-2512-10021</t>
        </is>
      </c>
      <c r="B23" s="1" t="n">
        <v>46020</v>
      </c>
      <c r="C23" t="inlineStr">
        <is>
          <t>West</t>
        </is>
      </c>
      <c r="D23" t="inlineStr">
        <is>
          <t>CA</t>
        </is>
      </c>
      <c r="E23" t="inlineStr">
        <is>
          <t>Los Angeles</t>
        </is>
      </c>
      <c r="F23" t="inlineStr">
        <is>
          <t>Online</t>
        </is>
      </c>
      <c r="G23" t="inlineStr">
        <is>
          <t>Corporate</t>
        </is>
      </c>
      <c r="H23" t="inlineStr">
        <is>
          <t>Technology</t>
        </is>
      </c>
      <c r="I23" t="inlineStr">
        <is>
          <t>Monitor</t>
        </is>
      </c>
      <c r="J23" s="2" t="n">
        <v>5</v>
      </c>
      <c r="K23" s="3" t="n">
        <v>196.17</v>
      </c>
      <c r="L23" s="3" t="n">
        <v>980.85</v>
      </c>
      <c r="M23" s="3" t="n">
        <v>705.14</v>
      </c>
      <c r="N23" s="3" t="n">
        <v>275.71</v>
      </c>
    </row>
    <row r="24">
      <c r="A24" t="inlineStr">
        <is>
          <t>SO-2403-10022</t>
        </is>
      </c>
      <c r="B24" s="1" t="n">
        <v>45378</v>
      </c>
      <c r="C24" t="inlineStr">
        <is>
          <t>Northeast</t>
        </is>
      </c>
      <c r="D24" t="inlineStr">
        <is>
          <t>NJ</t>
        </is>
      </c>
      <c r="E24" t="inlineStr">
        <is>
          <t>Newark</t>
        </is>
      </c>
      <c r="F24" t="inlineStr">
        <is>
          <t>Partner</t>
        </is>
      </c>
      <c r="G24" t="inlineStr">
        <is>
          <t>Consumer</t>
        </is>
      </c>
      <c r="H24" t="inlineStr">
        <is>
          <t>Furniture</t>
        </is>
      </c>
      <c r="I24" t="inlineStr">
        <is>
          <t>Bookshelf</t>
        </is>
      </c>
      <c r="J24" s="2" t="n">
        <v>1</v>
      </c>
      <c r="K24" s="3" t="n">
        <v>78.83</v>
      </c>
      <c r="L24" s="3" t="n">
        <v>78.83</v>
      </c>
      <c r="M24" s="3" t="n">
        <v>51.93</v>
      </c>
      <c r="N24" s="3" t="n">
        <v>26.9</v>
      </c>
    </row>
    <row r="25">
      <c r="A25" t="inlineStr">
        <is>
          <t>SO-2509-10023</t>
        </is>
      </c>
      <c r="B25" s="1" t="n">
        <v>45902</v>
      </c>
      <c r="C25" t="inlineStr">
        <is>
          <t>Northeast</t>
        </is>
      </c>
      <c r="D25" t="inlineStr">
        <is>
          <t>MA</t>
        </is>
      </c>
      <c r="E25" t="inlineStr">
        <is>
          <t>Boston</t>
        </is>
      </c>
      <c r="F25" t="inlineStr">
        <is>
          <t>In-Store</t>
        </is>
      </c>
      <c r="G25" t="inlineStr">
        <is>
          <t>Small Business</t>
        </is>
      </c>
      <c r="H25" t="inlineStr">
        <is>
          <t>Office Supplies</t>
        </is>
      </c>
      <c r="I25" t="inlineStr">
        <is>
          <t>Pens</t>
        </is>
      </c>
      <c r="J25" s="2" t="n">
        <v>5</v>
      </c>
      <c r="K25" s="3" t="n">
        <v>4.61</v>
      </c>
      <c r="L25" s="3" t="n">
        <v>23.05</v>
      </c>
      <c r="M25" s="3" t="n">
        <v>14.29</v>
      </c>
      <c r="N25" s="3" t="n">
        <v>8.76</v>
      </c>
    </row>
    <row r="26">
      <c r="A26" t="inlineStr">
        <is>
          <t>SO-2405-10024</t>
        </is>
      </c>
      <c r="B26" s="1" t="n">
        <v>45434</v>
      </c>
      <c r="C26" t="inlineStr">
        <is>
          <t>Midwest</t>
        </is>
      </c>
      <c r="D26" t="inlineStr">
        <is>
          <t>OH</t>
        </is>
      </c>
      <c r="E26" t="inlineStr">
        <is>
          <t>Columbus</t>
        </is>
      </c>
      <c r="F26" t="inlineStr">
        <is>
          <t>In-Store</t>
        </is>
      </c>
      <c r="G26" t="inlineStr">
        <is>
          <t>Consumer</t>
        </is>
      </c>
      <c r="H26" t="inlineStr">
        <is>
          <t>Furniture</t>
        </is>
      </c>
      <c r="I26" t="inlineStr">
        <is>
          <t>Standing Desk</t>
        </is>
      </c>
      <c r="J26" s="2" t="n">
        <v>1</v>
      </c>
      <c r="K26" s="3" t="n">
        <v>256.92</v>
      </c>
      <c r="L26" s="3" t="n">
        <v>256.92</v>
      </c>
      <c r="M26" s="3" t="n">
        <v>153.5</v>
      </c>
      <c r="N26" s="3" t="n">
        <v>103.42</v>
      </c>
    </row>
    <row r="27">
      <c r="A27" t="inlineStr">
        <is>
          <t>SO-2503-10025</t>
        </is>
      </c>
      <c r="B27" s="1" t="n">
        <v>45721</v>
      </c>
      <c r="C27" t="inlineStr">
        <is>
          <t>Northeast</t>
        </is>
      </c>
      <c r="D27" t="inlineStr">
        <is>
          <t>NY</t>
        </is>
      </c>
      <c r="E27" t="inlineStr">
        <is>
          <t>New York</t>
        </is>
      </c>
      <c r="F27" t="inlineStr">
        <is>
          <t>Online</t>
        </is>
      </c>
      <c r="G27" t="inlineStr">
        <is>
          <t>Consumer</t>
        </is>
      </c>
      <c r="H27" t="inlineStr">
        <is>
          <t>Technology</t>
        </is>
      </c>
      <c r="I27" t="inlineStr">
        <is>
          <t>Keyboard</t>
        </is>
      </c>
      <c r="J27" s="2" t="n">
        <v>2</v>
      </c>
      <c r="K27" s="3" t="n">
        <v>37.51</v>
      </c>
      <c r="L27" s="3" t="n">
        <v>75.02</v>
      </c>
      <c r="M27" s="3" t="n">
        <v>52.93</v>
      </c>
      <c r="N27" s="3" t="n">
        <v>22.09</v>
      </c>
    </row>
    <row r="28">
      <c r="A28" t="inlineStr">
        <is>
          <t>SO-2506-10026</t>
        </is>
      </c>
      <c r="B28" s="1" t="n">
        <v>45814</v>
      </c>
      <c r="C28" t="inlineStr">
        <is>
          <t>Midwest</t>
        </is>
      </c>
      <c r="D28" t="inlineStr">
        <is>
          <t>MN</t>
        </is>
      </c>
      <c r="E28" t="inlineStr">
        <is>
          <t>Minneapolis</t>
        </is>
      </c>
      <c r="F28" t="inlineStr">
        <is>
          <t>Online</t>
        </is>
      </c>
      <c r="G28" t="inlineStr">
        <is>
          <t>Corporate</t>
        </is>
      </c>
      <c r="H28" t="inlineStr">
        <is>
          <t>Furniture</t>
        </is>
      </c>
      <c r="I28" t="inlineStr">
        <is>
          <t>Filing Cabinet</t>
        </is>
      </c>
      <c r="J28" s="2" t="n">
        <v>4</v>
      </c>
      <c r="K28" s="3" t="n">
        <v>175.69</v>
      </c>
      <c r="L28" s="3" t="n">
        <v>702.76</v>
      </c>
      <c r="M28" s="3" t="n">
        <v>425.74</v>
      </c>
      <c r="N28" s="3" t="n">
        <v>277.02</v>
      </c>
    </row>
    <row r="29">
      <c r="A29" t="inlineStr">
        <is>
          <t>SO-2511-10027</t>
        </is>
      </c>
      <c r="B29" s="1" t="n">
        <v>45990</v>
      </c>
      <c r="C29" t="inlineStr">
        <is>
          <t>Northeast</t>
        </is>
      </c>
      <c r="D29" t="inlineStr">
        <is>
          <t>NY</t>
        </is>
      </c>
      <c r="E29" t="inlineStr">
        <is>
          <t>New York</t>
        </is>
      </c>
      <c r="F29" t="inlineStr">
        <is>
          <t>Partner</t>
        </is>
      </c>
      <c r="G29" t="inlineStr">
        <is>
          <t>Small Business</t>
        </is>
      </c>
      <c r="H29" t="inlineStr">
        <is>
          <t>Office Supplies</t>
        </is>
      </c>
      <c r="I29" t="inlineStr">
        <is>
          <t>Pens</t>
        </is>
      </c>
      <c r="J29" s="2" t="n">
        <v>2</v>
      </c>
      <c r="K29" s="3" t="n">
        <v>4.01</v>
      </c>
      <c r="L29" s="3" t="n">
        <v>8.02</v>
      </c>
      <c r="M29" s="3" t="n">
        <v>5.16</v>
      </c>
      <c r="N29" s="3" t="n">
        <v>2.86</v>
      </c>
    </row>
    <row r="30">
      <c r="A30" t="inlineStr">
        <is>
          <t>SO-2507-10028</t>
        </is>
      </c>
      <c r="B30" s="1" t="n">
        <v>45867</v>
      </c>
      <c r="C30" t="inlineStr">
        <is>
          <t>West</t>
        </is>
      </c>
      <c r="D30" t="inlineStr">
        <is>
          <t>CA</t>
        </is>
      </c>
      <c r="E30" t="inlineStr">
        <is>
          <t>Los Angeles</t>
        </is>
      </c>
      <c r="F30" t="inlineStr">
        <is>
          <t>Online</t>
        </is>
      </c>
      <c r="G30" t="inlineStr">
        <is>
          <t>Consumer</t>
        </is>
      </c>
      <c r="H30" t="inlineStr">
        <is>
          <t>Furniture</t>
        </is>
      </c>
      <c r="I30" t="inlineStr">
        <is>
          <t>Desk Chair</t>
        </is>
      </c>
      <c r="J30" s="2" t="n">
        <v>2</v>
      </c>
      <c r="K30" s="3" t="n">
        <v>120.18</v>
      </c>
      <c r="L30" s="3" t="n">
        <v>240.36</v>
      </c>
      <c r="M30" s="3" t="n">
        <v>160.15</v>
      </c>
      <c r="N30" s="3" t="n">
        <v>80.20999999999999</v>
      </c>
    </row>
    <row r="31">
      <c r="A31" t="inlineStr">
        <is>
          <t>SO-2409-10029</t>
        </is>
      </c>
      <c r="B31" s="1" t="n">
        <v>45545</v>
      </c>
      <c r="C31" t="inlineStr">
        <is>
          <t>West</t>
        </is>
      </c>
      <c r="D31" t="inlineStr">
        <is>
          <t>AZ</t>
        </is>
      </c>
      <c r="E31" t="inlineStr">
        <is>
          <t>Phoenix</t>
        </is>
      </c>
      <c r="F31" t="inlineStr">
        <is>
          <t>Partner</t>
        </is>
      </c>
      <c r="G31" t="inlineStr">
        <is>
          <t>Small Business</t>
        </is>
      </c>
      <c r="H31" t="inlineStr">
        <is>
          <t>Furniture</t>
        </is>
      </c>
      <c r="I31" t="inlineStr">
        <is>
          <t>Standing Desk</t>
        </is>
      </c>
      <c r="J31" s="2" t="n">
        <v>2</v>
      </c>
      <c r="K31" s="3" t="n">
        <v>317.34</v>
      </c>
      <c r="L31" s="3" t="n">
        <v>634.6799999999999</v>
      </c>
      <c r="M31" s="3" t="n">
        <v>419.69</v>
      </c>
      <c r="N31" s="3" t="n">
        <v>214.99</v>
      </c>
    </row>
    <row r="32">
      <c r="A32" t="inlineStr">
        <is>
          <t>SO-2503-10030</t>
        </is>
      </c>
      <c r="B32" s="1" t="n">
        <v>45730</v>
      </c>
      <c r="C32" t="inlineStr">
        <is>
          <t>Midwest</t>
        </is>
      </c>
      <c r="D32" t="inlineStr">
        <is>
          <t>OH</t>
        </is>
      </c>
      <c r="E32" t="inlineStr">
        <is>
          <t>Columbus</t>
        </is>
      </c>
      <c r="F32" t="inlineStr">
        <is>
          <t>Online</t>
        </is>
      </c>
      <c r="G32" t="inlineStr">
        <is>
          <t>Consumer</t>
        </is>
      </c>
      <c r="H32" t="inlineStr">
        <is>
          <t>Technology</t>
        </is>
      </c>
      <c r="I32" t="inlineStr">
        <is>
          <t>Keyboard</t>
        </is>
      </c>
      <c r="J32" s="2" t="n">
        <v>4</v>
      </c>
      <c r="K32" s="3" t="n">
        <v>38.99</v>
      </c>
      <c r="L32" s="3" t="n">
        <v>155.96</v>
      </c>
      <c r="M32" s="3" t="n">
        <v>102.45</v>
      </c>
      <c r="N32" s="3" t="n">
        <v>53.51</v>
      </c>
    </row>
    <row r="33">
      <c r="A33" t="inlineStr">
        <is>
          <t>SO-2404-10031</t>
        </is>
      </c>
      <c r="B33" s="1" t="n">
        <v>45388</v>
      </c>
      <c r="C33" t="inlineStr">
        <is>
          <t>Midwest</t>
        </is>
      </c>
      <c r="D33" t="inlineStr">
        <is>
          <t>IL</t>
        </is>
      </c>
      <c r="E33" t="inlineStr">
        <is>
          <t>Chicago</t>
        </is>
      </c>
      <c r="F33" t="inlineStr">
        <is>
          <t>In-Store</t>
        </is>
      </c>
      <c r="G33" t="inlineStr">
        <is>
          <t>Corporate</t>
        </is>
      </c>
      <c r="H33" t="inlineStr">
        <is>
          <t>Office Supplies</t>
        </is>
      </c>
      <c r="I33" t="inlineStr">
        <is>
          <t>Binders</t>
        </is>
      </c>
      <c r="J33" s="2" t="n">
        <v>5</v>
      </c>
      <c r="K33" s="3" t="n">
        <v>8.92</v>
      </c>
      <c r="L33" s="3" t="n">
        <v>44.6</v>
      </c>
      <c r="M33" s="3" t="n">
        <v>30.44</v>
      </c>
      <c r="N33" s="3" t="n">
        <v>14.16</v>
      </c>
    </row>
    <row r="34">
      <c r="A34" t="inlineStr">
        <is>
          <t>SO-2404-10032</t>
        </is>
      </c>
      <c r="B34" s="1" t="n">
        <v>45386</v>
      </c>
      <c r="C34" t="inlineStr">
        <is>
          <t>Northeast</t>
        </is>
      </c>
      <c r="D34" t="inlineStr">
        <is>
          <t>MA</t>
        </is>
      </c>
      <c r="E34" t="inlineStr">
        <is>
          <t>Boston</t>
        </is>
      </c>
      <c r="F34" t="inlineStr">
        <is>
          <t>Partner</t>
        </is>
      </c>
      <c r="G34" t="inlineStr">
        <is>
          <t>Corporate</t>
        </is>
      </c>
      <c r="H34" t="inlineStr">
        <is>
          <t>Office Supplies</t>
        </is>
      </c>
      <c r="I34" t="inlineStr">
        <is>
          <t>Stapler</t>
        </is>
      </c>
      <c r="J34" s="2" t="n">
        <v>3</v>
      </c>
      <c r="K34" s="3" t="n">
        <v>14.92</v>
      </c>
      <c r="L34" s="3" t="n">
        <v>44.76</v>
      </c>
      <c r="M34" s="3" t="n">
        <v>27.33</v>
      </c>
      <c r="N34" s="3" t="n">
        <v>17.43</v>
      </c>
    </row>
    <row r="35">
      <c r="A35" t="inlineStr">
        <is>
          <t>SO-2506-10033</t>
        </is>
      </c>
      <c r="B35" s="1" t="n">
        <v>45816</v>
      </c>
      <c r="C35" t="inlineStr">
        <is>
          <t>South</t>
        </is>
      </c>
      <c r="D35" t="inlineStr">
        <is>
          <t>FL</t>
        </is>
      </c>
      <c r="E35" t="inlineStr">
        <is>
          <t>Miami</t>
        </is>
      </c>
      <c r="F35" t="inlineStr">
        <is>
          <t>Online</t>
        </is>
      </c>
      <c r="G35" t="inlineStr">
        <is>
          <t>Consumer</t>
        </is>
      </c>
      <c r="H35" t="inlineStr">
        <is>
          <t>Furniture</t>
        </is>
      </c>
      <c r="I35" t="inlineStr">
        <is>
          <t>Filing Cabinet</t>
        </is>
      </c>
      <c r="J35" s="2" t="n">
        <v>1</v>
      </c>
      <c r="K35" s="3" t="n">
        <v>157.13</v>
      </c>
      <c r="L35" s="3" t="n">
        <v>157.13</v>
      </c>
      <c r="M35" s="3" t="n">
        <v>107.8</v>
      </c>
      <c r="N35" s="3" t="n">
        <v>49.33</v>
      </c>
    </row>
    <row r="36">
      <c r="A36" t="inlineStr">
        <is>
          <t>SO-2503-10034</t>
        </is>
      </c>
      <c r="B36" s="1" t="n">
        <v>45724</v>
      </c>
      <c r="C36" t="inlineStr">
        <is>
          <t>Northeast</t>
        </is>
      </c>
      <c r="D36" t="inlineStr">
        <is>
          <t>NY</t>
        </is>
      </c>
      <c r="E36" t="inlineStr">
        <is>
          <t>New York</t>
        </is>
      </c>
      <c r="F36" t="inlineStr">
        <is>
          <t>Partner</t>
        </is>
      </c>
      <c r="G36" t="inlineStr">
        <is>
          <t>Corporate</t>
        </is>
      </c>
      <c r="H36" t="inlineStr">
        <is>
          <t>Office Supplies</t>
        </is>
      </c>
      <c r="I36" t="inlineStr">
        <is>
          <t>Binders</t>
        </is>
      </c>
      <c r="J36" s="2" t="n">
        <v>2</v>
      </c>
      <c r="K36" s="3" t="n">
        <v>9.31</v>
      </c>
      <c r="L36" s="3" t="n">
        <v>18.62</v>
      </c>
      <c r="M36" s="3" t="n">
        <v>12.77</v>
      </c>
      <c r="N36" s="3" t="n">
        <v>5.85</v>
      </c>
    </row>
    <row r="37">
      <c r="A37" t="inlineStr">
        <is>
          <t>SO-2503-10035</t>
        </is>
      </c>
      <c r="B37" s="1" t="n">
        <v>45727</v>
      </c>
      <c r="C37" t="inlineStr">
        <is>
          <t>West</t>
        </is>
      </c>
      <c r="D37" t="inlineStr">
        <is>
          <t>WA</t>
        </is>
      </c>
      <c r="E37" t="inlineStr">
        <is>
          <t>Seattle</t>
        </is>
      </c>
      <c r="F37" t="inlineStr">
        <is>
          <t>Online</t>
        </is>
      </c>
      <c r="G37" t="inlineStr">
        <is>
          <t>Corporate</t>
        </is>
      </c>
      <c r="H37" t="inlineStr">
        <is>
          <t>Furniture</t>
        </is>
      </c>
      <c r="I37" t="inlineStr">
        <is>
          <t>Filing Cabinet</t>
        </is>
      </c>
      <c r="J37" s="2" t="n">
        <v>1</v>
      </c>
      <c r="K37" s="3" t="n">
        <v>169.61</v>
      </c>
      <c r="L37" s="3" t="n">
        <v>169.61</v>
      </c>
      <c r="M37" s="3" t="n">
        <v>118.22</v>
      </c>
      <c r="N37" s="3" t="n">
        <v>51.39</v>
      </c>
    </row>
    <row r="38">
      <c r="A38" t="inlineStr">
        <is>
          <t>SO-2401-10036</t>
        </is>
      </c>
      <c r="B38" s="1" t="n">
        <v>45303</v>
      </c>
      <c r="C38" t="inlineStr">
        <is>
          <t>South</t>
        </is>
      </c>
      <c r="D38" t="inlineStr">
        <is>
          <t>GA</t>
        </is>
      </c>
      <c r="E38" t="inlineStr">
        <is>
          <t>Atlanta</t>
        </is>
      </c>
      <c r="F38" t="inlineStr">
        <is>
          <t>In-Store</t>
        </is>
      </c>
      <c r="G38" t="inlineStr">
        <is>
          <t>Small Business</t>
        </is>
      </c>
      <c r="H38" t="inlineStr">
        <is>
          <t>Technology</t>
        </is>
      </c>
      <c r="I38" t="inlineStr">
        <is>
          <t>Mouse</t>
        </is>
      </c>
      <c r="J38" s="2" t="n">
        <v>1</v>
      </c>
      <c r="K38" s="3" t="n">
        <v>20.64</v>
      </c>
      <c r="L38" s="3" t="n">
        <v>20.64</v>
      </c>
      <c r="M38" s="3" t="n">
        <v>13.37</v>
      </c>
      <c r="N38" s="3" t="n">
        <v>7.27</v>
      </c>
    </row>
    <row r="39">
      <c r="A39" t="inlineStr">
        <is>
          <t>SO-2409-10037</t>
        </is>
      </c>
      <c r="B39" s="1" t="n">
        <v>45560</v>
      </c>
      <c r="C39" t="inlineStr">
        <is>
          <t>West</t>
        </is>
      </c>
      <c r="D39" t="inlineStr">
        <is>
          <t>AZ</t>
        </is>
      </c>
      <c r="E39" t="inlineStr">
        <is>
          <t>Phoenix</t>
        </is>
      </c>
      <c r="F39" t="inlineStr">
        <is>
          <t>Online</t>
        </is>
      </c>
      <c r="G39" t="inlineStr">
        <is>
          <t>Consumer</t>
        </is>
      </c>
      <c r="H39" t="inlineStr">
        <is>
          <t>Furniture</t>
        </is>
      </c>
      <c r="I39" t="inlineStr">
        <is>
          <t>Standing Desk</t>
        </is>
      </c>
      <c r="J39" s="2" t="n">
        <v>1</v>
      </c>
      <c r="K39" s="3" t="n">
        <v>258.88</v>
      </c>
      <c r="L39" s="3" t="n">
        <v>258.88</v>
      </c>
      <c r="M39" s="3" t="n">
        <v>192.81</v>
      </c>
      <c r="N39" s="3" t="n">
        <v>66.06999999999999</v>
      </c>
    </row>
    <row r="40">
      <c r="A40" t="inlineStr">
        <is>
          <t>SO-2410-10038</t>
        </is>
      </c>
      <c r="B40" s="1" t="n">
        <v>45569</v>
      </c>
      <c r="C40" t="inlineStr">
        <is>
          <t>Northeast</t>
        </is>
      </c>
      <c r="D40" t="inlineStr">
        <is>
          <t>PA</t>
        </is>
      </c>
      <c r="E40" t="inlineStr">
        <is>
          <t>Philadelphia</t>
        </is>
      </c>
      <c r="F40" t="inlineStr">
        <is>
          <t>In-Store</t>
        </is>
      </c>
      <c r="G40" t="inlineStr">
        <is>
          <t>Consumer</t>
        </is>
      </c>
      <c r="H40" t="inlineStr">
        <is>
          <t>Furniture</t>
        </is>
      </c>
      <c r="I40" t="inlineStr">
        <is>
          <t>Bookshelf</t>
        </is>
      </c>
      <c r="J40" s="2" t="n">
        <v>3</v>
      </c>
      <c r="K40" s="3" t="n">
        <v>90.83</v>
      </c>
      <c r="L40" s="3" t="n">
        <v>272.49</v>
      </c>
      <c r="M40" s="3" t="n">
        <v>189.18</v>
      </c>
      <c r="N40" s="3" t="n">
        <v>83.31</v>
      </c>
    </row>
    <row r="41">
      <c r="A41" t="inlineStr">
        <is>
          <t>SO-2504-10039</t>
        </is>
      </c>
      <c r="B41" s="1" t="n">
        <v>45749</v>
      </c>
      <c r="C41" t="inlineStr">
        <is>
          <t>Midwest</t>
        </is>
      </c>
      <c r="D41" t="inlineStr">
        <is>
          <t>IL</t>
        </is>
      </c>
      <c r="E41" t="inlineStr">
        <is>
          <t>Chicago</t>
        </is>
      </c>
      <c r="F41" t="inlineStr">
        <is>
          <t>Online</t>
        </is>
      </c>
      <c r="G41" t="inlineStr">
        <is>
          <t>Small Business</t>
        </is>
      </c>
      <c r="H41" t="inlineStr">
        <is>
          <t>Office Supplies</t>
        </is>
      </c>
      <c r="I41" t="inlineStr">
        <is>
          <t>Paper</t>
        </is>
      </c>
      <c r="J41" s="2" t="n">
        <v>4</v>
      </c>
      <c r="K41" s="3" t="n">
        <v>7.48</v>
      </c>
      <c r="L41" s="3" t="n">
        <v>29.92</v>
      </c>
      <c r="M41" s="3" t="n">
        <v>18.93</v>
      </c>
      <c r="N41" s="3" t="n">
        <v>10.99</v>
      </c>
    </row>
    <row r="42">
      <c r="A42" t="inlineStr">
        <is>
          <t>SO-2407-10040</t>
        </is>
      </c>
      <c r="B42" s="1" t="n">
        <v>45495</v>
      </c>
      <c r="C42" t="inlineStr">
        <is>
          <t>West</t>
        </is>
      </c>
      <c r="D42" t="inlineStr">
        <is>
          <t>CO</t>
        </is>
      </c>
      <c r="E42" t="inlineStr">
        <is>
          <t>Denver</t>
        </is>
      </c>
      <c r="F42" t="inlineStr">
        <is>
          <t>Partner</t>
        </is>
      </c>
      <c r="G42" t="inlineStr">
        <is>
          <t>Small Business</t>
        </is>
      </c>
      <c r="H42" t="inlineStr">
        <is>
          <t>Furniture</t>
        </is>
      </c>
      <c r="I42" t="inlineStr">
        <is>
          <t>Filing Cabinet</t>
        </is>
      </c>
      <c r="J42" s="2" t="n">
        <v>1</v>
      </c>
      <c r="K42" s="3" t="n">
        <v>182.56</v>
      </c>
      <c r="L42" s="3" t="n">
        <v>182.56</v>
      </c>
      <c r="M42" s="3" t="n">
        <v>113.01</v>
      </c>
      <c r="N42" s="3" t="n">
        <v>69.55</v>
      </c>
    </row>
    <row r="43">
      <c r="A43" t="inlineStr">
        <is>
          <t>SO-2503-10041</t>
        </is>
      </c>
      <c r="B43" s="1" t="n">
        <v>45733</v>
      </c>
      <c r="C43" t="inlineStr">
        <is>
          <t>Northeast</t>
        </is>
      </c>
      <c r="D43" t="inlineStr">
        <is>
          <t>NJ</t>
        </is>
      </c>
      <c r="E43" t="inlineStr">
        <is>
          <t>Newark</t>
        </is>
      </c>
      <c r="F43" t="inlineStr">
        <is>
          <t>Online</t>
        </is>
      </c>
      <c r="G43" t="inlineStr">
        <is>
          <t>Consumer</t>
        </is>
      </c>
      <c r="H43" t="inlineStr">
        <is>
          <t>Technology</t>
        </is>
      </c>
      <c r="I43" t="inlineStr">
        <is>
          <t>Mouse</t>
        </is>
      </c>
      <c r="J43" s="2" t="n">
        <v>7</v>
      </c>
      <c r="K43" s="3" t="n">
        <v>22.01</v>
      </c>
      <c r="L43" s="3" t="n">
        <v>154.07</v>
      </c>
      <c r="M43" s="3" t="n">
        <v>109.79</v>
      </c>
      <c r="N43" s="3" t="n">
        <v>44.28</v>
      </c>
    </row>
    <row r="44">
      <c r="A44" t="inlineStr">
        <is>
          <t>SO-2410-10042</t>
        </is>
      </c>
      <c r="B44" s="1" t="n">
        <v>45567</v>
      </c>
      <c r="C44" t="inlineStr">
        <is>
          <t>South</t>
        </is>
      </c>
      <c r="D44" t="inlineStr">
        <is>
          <t>TN</t>
        </is>
      </c>
      <c r="E44" t="inlineStr">
        <is>
          <t>Nashville</t>
        </is>
      </c>
      <c r="F44" t="inlineStr">
        <is>
          <t>In-Store</t>
        </is>
      </c>
      <c r="G44" t="inlineStr">
        <is>
          <t>Consumer</t>
        </is>
      </c>
      <c r="H44" t="inlineStr">
        <is>
          <t>Furniture</t>
        </is>
      </c>
      <c r="I44" t="inlineStr">
        <is>
          <t>Bookshelf</t>
        </is>
      </c>
      <c r="J44" s="2" t="n">
        <v>2</v>
      </c>
      <c r="K44" s="3" t="n">
        <v>92.66</v>
      </c>
      <c r="L44" s="3" t="n">
        <v>185.32</v>
      </c>
      <c r="M44" s="3" t="n">
        <v>113.33</v>
      </c>
      <c r="N44" s="3" t="n">
        <v>71.98999999999999</v>
      </c>
    </row>
    <row r="45">
      <c r="A45" t="inlineStr">
        <is>
          <t>SO-2401-10043</t>
        </is>
      </c>
      <c r="B45" s="1" t="n">
        <v>45293</v>
      </c>
      <c r="C45" t="inlineStr">
        <is>
          <t>Midwest</t>
        </is>
      </c>
      <c r="D45" t="inlineStr">
        <is>
          <t>MI</t>
        </is>
      </c>
      <c r="E45" t="inlineStr">
        <is>
          <t>Detroit</t>
        </is>
      </c>
      <c r="F45" t="inlineStr">
        <is>
          <t>In-Store</t>
        </is>
      </c>
      <c r="G45" t="inlineStr">
        <is>
          <t>Corporate</t>
        </is>
      </c>
      <c r="H45" t="inlineStr">
        <is>
          <t>Technology</t>
        </is>
      </c>
      <c r="I45" t="inlineStr">
        <is>
          <t>Monitor</t>
        </is>
      </c>
      <c r="J45" s="2" t="n">
        <v>1</v>
      </c>
      <c r="K45" s="3" t="n">
        <v>166.19</v>
      </c>
      <c r="L45" s="3" t="n">
        <v>166.19</v>
      </c>
      <c r="M45" s="3" t="n">
        <v>108.97</v>
      </c>
      <c r="N45" s="3" t="n">
        <v>57.22</v>
      </c>
    </row>
    <row r="46">
      <c r="A46" t="inlineStr">
        <is>
          <t>SO-2405-10044</t>
        </is>
      </c>
      <c r="B46" s="1" t="n">
        <v>45439</v>
      </c>
      <c r="C46" t="inlineStr">
        <is>
          <t>South</t>
        </is>
      </c>
      <c r="D46" t="inlineStr">
        <is>
          <t>TN</t>
        </is>
      </c>
      <c r="E46" t="inlineStr">
        <is>
          <t>Nashville</t>
        </is>
      </c>
      <c r="F46" t="inlineStr">
        <is>
          <t>In-Store</t>
        </is>
      </c>
      <c r="G46" t="inlineStr">
        <is>
          <t>Small Business</t>
        </is>
      </c>
      <c r="H46" t="inlineStr">
        <is>
          <t>Technology</t>
        </is>
      </c>
      <c r="I46" t="inlineStr">
        <is>
          <t>Keyboard</t>
        </is>
      </c>
      <c r="J46" s="2" t="n">
        <v>1</v>
      </c>
      <c r="K46" s="3" t="n">
        <v>36.97</v>
      </c>
      <c r="L46" s="3" t="n">
        <v>36.97</v>
      </c>
      <c r="M46" s="3" t="n">
        <v>22.79</v>
      </c>
      <c r="N46" s="3" t="n">
        <v>14.18</v>
      </c>
    </row>
    <row r="47">
      <c r="A47" t="inlineStr">
        <is>
          <t>SO-2406-10045</t>
        </is>
      </c>
      <c r="B47" s="1" t="n">
        <v>45450</v>
      </c>
      <c r="C47" t="inlineStr">
        <is>
          <t>South</t>
        </is>
      </c>
      <c r="D47" t="inlineStr">
        <is>
          <t>TN</t>
        </is>
      </c>
      <c r="E47" t="inlineStr">
        <is>
          <t>Nashville</t>
        </is>
      </c>
      <c r="F47" t="inlineStr">
        <is>
          <t>Partner</t>
        </is>
      </c>
      <c r="G47" t="inlineStr">
        <is>
          <t>Small Business</t>
        </is>
      </c>
      <c r="H47" t="inlineStr">
        <is>
          <t>Office Supplies</t>
        </is>
      </c>
      <c r="I47" t="inlineStr">
        <is>
          <t>Binders</t>
        </is>
      </c>
      <c r="J47" s="2" t="n">
        <v>2</v>
      </c>
      <c r="K47" s="3" t="n">
        <v>9.4</v>
      </c>
      <c r="L47" s="3" t="n">
        <v>18.8</v>
      </c>
      <c r="M47" s="3" t="n">
        <v>11</v>
      </c>
      <c r="N47" s="3" t="n">
        <v>7.8</v>
      </c>
    </row>
    <row r="48">
      <c r="A48" t="inlineStr">
        <is>
          <t>SO-2506-10046</t>
        </is>
      </c>
      <c r="B48" s="1" t="n">
        <v>45817</v>
      </c>
      <c r="C48" t="inlineStr">
        <is>
          <t>West</t>
        </is>
      </c>
      <c r="D48" t="inlineStr">
        <is>
          <t>AZ</t>
        </is>
      </c>
      <c r="E48" t="inlineStr">
        <is>
          <t>Phoenix</t>
        </is>
      </c>
      <c r="F48" t="inlineStr">
        <is>
          <t>Partner</t>
        </is>
      </c>
      <c r="G48" t="inlineStr">
        <is>
          <t>Corporate</t>
        </is>
      </c>
      <c r="H48" t="inlineStr">
        <is>
          <t>Furniture</t>
        </is>
      </c>
      <c r="I48" t="inlineStr">
        <is>
          <t>Filing Cabinet</t>
        </is>
      </c>
      <c r="J48" s="2" t="n">
        <v>4</v>
      </c>
      <c r="K48" s="3" t="n">
        <v>143.17</v>
      </c>
      <c r="L48" s="3" t="n">
        <v>572.6799999999999</v>
      </c>
      <c r="M48" s="3" t="n">
        <v>336.42</v>
      </c>
      <c r="N48" s="3" t="n">
        <v>236.26</v>
      </c>
    </row>
    <row r="49">
      <c r="A49" t="inlineStr">
        <is>
          <t>SO-2501-10047</t>
        </is>
      </c>
      <c r="B49" s="1" t="n">
        <v>45677</v>
      </c>
      <c r="C49" t="inlineStr">
        <is>
          <t>Northeast</t>
        </is>
      </c>
      <c r="D49" t="inlineStr">
        <is>
          <t>NY</t>
        </is>
      </c>
      <c r="E49" t="inlineStr">
        <is>
          <t>New York</t>
        </is>
      </c>
      <c r="F49" t="inlineStr">
        <is>
          <t>In-Store</t>
        </is>
      </c>
      <c r="G49" t="inlineStr">
        <is>
          <t>Small Business</t>
        </is>
      </c>
      <c r="H49" t="inlineStr">
        <is>
          <t>Furniture</t>
        </is>
      </c>
      <c r="I49" t="inlineStr">
        <is>
          <t>Standing Desk</t>
        </is>
      </c>
      <c r="J49" s="2" t="n">
        <v>2</v>
      </c>
      <c r="K49" s="3" t="n">
        <v>262.65</v>
      </c>
      <c r="L49" s="3" t="n">
        <v>525.3</v>
      </c>
      <c r="M49" s="3" t="n">
        <v>390.36</v>
      </c>
      <c r="N49" s="3" t="n">
        <v>134.94</v>
      </c>
    </row>
    <row r="50">
      <c r="A50" t="inlineStr">
        <is>
          <t>SO-2505-10048</t>
        </is>
      </c>
      <c r="B50" s="1" t="n">
        <v>45807</v>
      </c>
      <c r="C50" t="inlineStr">
        <is>
          <t>South</t>
        </is>
      </c>
      <c r="D50" t="inlineStr">
        <is>
          <t>GA</t>
        </is>
      </c>
      <c r="E50" t="inlineStr">
        <is>
          <t>Atlanta</t>
        </is>
      </c>
      <c r="F50" t="inlineStr">
        <is>
          <t>Partner</t>
        </is>
      </c>
      <c r="G50" t="inlineStr">
        <is>
          <t>Consumer</t>
        </is>
      </c>
      <c r="H50" t="inlineStr">
        <is>
          <t>Furniture</t>
        </is>
      </c>
      <c r="I50" t="inlineStr">
        <is>
          <t>Standing Desk</t>
        </is>
      </c>
      <c r="J50" s="2" t="n">
        <v>3</v>
      </c>
      <c r="K50" s="3" t="n">
        <v>299.03</v>
      </c>
      <c r="L50" s="3" t="n">
        <v>897.09</v>
      </c>
      <c r="M50" s="3" t="n">
        <v>634.4299999999999</v>
      </c>
      <c r="N50" s="3" t="n">
        <v>262.66</v>
      </c>
    </row>
    <row r="51">
      <c r="A51" t="inlineStr">
        <is>
          <t>SO-2510-10049</t>
        </is>
      </c>
      <c r="B51" s="1" t="n">
        <v>45957</v>
      </c>
      <c r="C51" t="inlineStr">
        <is>
          <t>South</t>
        </is>
      </c>
      <c r="D51" t="inlineStr">
        <is>
          <t>TN</t>
        </is>
      </c>
      <c r="E51" t="inlineStr">
        <is>
          <t>Nashville</t>
        </is>
      </c>
      <c r="F51" t="inlineStr">
        <is>
          <t>In-Store</t>
        </is>
      </c>
      <c r="G51" t="inlineStr">
        <is>
          <t>Corporate</t>
        </is>
      </c>
      <c r="H51" t="inlineStr">
        <is>
          <t>Technology</t>
        </is>
      </c>
      <c r="I51" t="inlineStr">
        <is>
          <t>Mouse</t>
        </is>
      </c>
      <c r="J51" s="2" t="n">
        <v>2</v>
      </c>
      <c r="K51" s="3" t="n">
        <v>22.07</v>
      </c>
      <c r="L51" s="3" t="n">
        <v>44.14</v>
      </c>
      <c r="M51" s="3" t="n">
        <v>32.49</v>
      </c>
      <c r="N51" s="3" t="n">
        <v>11.65</v>
      </c>
    </row>
    <row r="52">
      <c r="A52" t="inlineStr">
        <is>
          <t>SO-2405-10050</t>
        </is>
      </c>
      <c r="B52" s="1" t="n">
        <v>45442</v>
      </c>
      <c r="C52" t="inlineStr">
        <is>
          <t>West</t>
        </is>
      </c>
      <c r="D52" t="inlineStr">
        <is>
          <t>CA</t>
        </is>
      </c>
      <c r="E52" t="inlineStr">
        <is>
          <t>Los Angeles</t>
        </is>
      </c>
      <c r="F52" t="inlineStr">
        <is>
          <t>In-Store</t>
        </is>
      </c>
      <c r="G52" t="inlineStr">
        <is>
          <t>Corporate</t>
        </is>
      </c>
      <c r="H52" t="inlineStr">
        <is>
          <t>Technology</t>
        </is>
      </c>
      <c r="I52" t="inlineStr">
        <is>
          <t>Monitor</t>
        </is>
      </c>
      <c r="J52" s="2" t="n">
        <v>3</v>
      </c>
      <c r="K52" s="3" t="n">
        <v>194.41</v>
      </c>
      <c r="L52" s="3" t="n">
        <v>583.23</v>
      </c>
      <c r="M52" s="3" t="n">
        <v>417.42</v>
      </c>
      <c r="N52" s="3" t="n">
        <v>165.81</v>
      </c>
    </row>
    <row r="53">
      <c r="A53" t="inlineStr">
        <is>
          <t>SO-2511-10051</t>
        </is>
      </c>
      <c r="B53" s="1" t="n">
        <v>45983</v>
      </c>
      <c r="C53" t="inlineStr">
        <is>
          <t>Midwest</t>
        </is>
      </c>
      <c r="D53" t="inlineStr">
        <is>
          <t>OH</t>
        </is>
      </c>
      <c r="E53" t="inlineStr">
        <is>
          <t>Columbus</t>
        </is>
      </c>
      <c r="F53" t="inlineStr">
        <is>
          <t>In-Store</t>
        </is>
      </c>
      <c r="G53" t="inlineStr">
        <is>
          <t>Corporate</t>
        </is>
      </c>
      <c r="H53" t="inlineStr">
        <is>
          <t>Office Supplies</t>
        </is>
      </c>
      <c r="I53" t="inlineStr">
        <is>
          <t>Stapler</t>
        </is>
      </c>
      <c r="J53" s="2" t="n">
        <v>3</v>
      </c>
      <c r="K53" s="3" t="n">
        <v>11.28</v>
      </c>
      <c r="L53" s="3" t="n">
        <v>33.84</v>
      </c>
      <c r="M53" s="3" t="n">
        <v>19.98</v>
      </c>
      <c r="N53" s="3" t="n">
        <v>13.86</v>
      </c>
    </row>
    <row r="54">
      <c r="A54" t="inlineStr">
        <is>
          <t>SO-2403-10052</t>
        </is>
      </c>
      <c r="B54" s="1" t="n">
        <v>45379</v>
      </c>
      <c r="C54" t="inlineStr">
        <is>
          <t>Midwest</t>
        </is>
      </c>
      <c r="D54" t="inlineStr">
        <is>
          <t>MN</t>
        </is>
      </c>
      <c r="E54" t="inlineStr">
        <is>
          <t>Minneapolis</t>
        </is>
      </c>
      <c r="F54" t="inlineStr">
        <is>
          <t>In-Store</t>
        </is>
      </c>
      <c r="G54" t="inlineStr">
        <is>
          <t>Consumer</t>
        </is>
      </c>
      <c r="H54" t="inlineStr">
        <is>
          <t>Technology</t>
        </is>
      </c>
      <c r="I54" t="inlineStr">
        <is>
          <t>Laptop Stand</t>
        </is>
      </c>
      <c r="J54" s="2" t="n">
        <v>6</v>
      </c>
      <c r="K54" s="3" t="n">
        <v>32.39</v>
      </c>
      <c r="L54" s="3" t="n">
        <v>194.34</v>
      </c>
      <c r="M54" s="3" t="n">
        <v>135.81</v>
      </c>
      <c r="N54" s="3" t="n">
        <v>58.53</v>
      </c>
    </row>
    <row r="55">
      <c r="A55" t="inlineStr">
        <is>
          <t>SO-2403-10053</t>
        </is>
      </c>
      <c r="B55" s="1" t="n">
        <v>45368</v>
      </c>
      <c r="C55" t="inlineStr">
        <is>
          <t>Midwest</t>
        </is>
      </c>
      <c r="D55" t="inlineStr">
        <is>
          <t>MN</t>
        </is>
      </c>
      <c r="E55" t="inlineStr">
        <is>
          <t>Minneapolis</t>
        </is>
      </c>
      <c r="F55" t="inlineStr">
        <is>
          <t>Partner</t>
        </is>
      </c>
      <c r="G55" t="inlineStr">
        <is>
          <t>Consumer</t>
        </is>
      </c>
      <c r="H55" t="inlineStr">
        <is>
          <t>Office Supplies</t>
        </is>
      </c>
      <c r="I55" t="inlineStr">
        <is>
          <t>Stapler</t>
        </is>
      </c>
      <c r="J55" s="2" t="n">
        <v>4</v>
      </c>
      <c r="K55" s="3" t="n">
        <v>14.91</v>
      </c>
      <c r="L55" s="3" t="n">
        <v>59.64</v>
      </c>
      <c r="M55" s="3" t="n">
        <v>36.26</v>
      </c>
      <c r="N55" s="3" t="n">
        <v>23.38</v>
      </c>
    </row>
    <row r="56">
      <c r="A56" t="inlineStr">
        <is>
          <t>SO-2501-10054</t>
        </is>
      </c>
      <c r="B56" s="1" t="n">
        <v>45665</v>
      </c>
      <c r="C56" t="inlineStr">
        <is>
          <t>Northeast</t>
        </is>
      </c>
      <c r="D56" t="inlineStr">
        <is>
          <t>PA</t>
        </is>
      </c>
      <c r="E56" t="inlineStr">
        <is>
          <t>Philadelphia</t>
        </is>
      </c>
      <c r="F56" t="inlineStr">
        <is>
          <t>Online</t>
        </is>
      </c>
      <c r="G56" t="inlineStr">
        <is>
          <t>Corporate</t>
        </is>
      </c>
      <c r="H56" t="inlineStr">
        <is>
          <t>Technology</t>
        </is>
      </c>
      <c r="I56" t="inlineStr">
        <is>
          <t>Keyboard</t>
        </is>
      </c>
      <c r="J56" s="2" t="n">
        <v>1</v>
      </c>
      <c r="K56" s="3" t="n">
        <v>41.23</v>
      </c>
      <c r="L56" s="3" t="n">
        <v>41.23</v>
      </c>
      <c r="M56" s="3" t="n">
        <v>26.81</v>
      </c>
      <c r="N56" s="3" t="n">
        <v>14.42</v>
      </c>
    </row>
    <row r="57">
      <c r="A57" t="inlineStr">
        <is>
          <t>SO-2405-10055</t>
        </is>
      </c>
      <c r="B57" s="1" t="n">
        <v>45436</v>
      </c>
      <c r="C57" t="inlineStr">
        <is>
          <t>West</t>
        </is>
      </c>
      <c r="D57" t="inlineStr">
        <is>
          <t>CO</t>
        </is>
      </c>
      <c r="E57" t="inlineStr">
        <is>
          <t>Denver</t>
        </is>
      </c>
      <c r="F57" t="inlineStr">
        <is>
          <t>In-Store</t>
        </is>
      </c>
      <c r="G57" t="inlineStr">
        <is>
          <t>Corporate</t>
        </is>
      </c>
      <c r="H57" t="inlineStr">
        <is>
          <t>Office Supplies</t>
        </is>
      </c>
      <c r="I57" t="inlineStr">
        <is>
          <t>Pens</t>
        </is>
      </c>
      <c r="J57" s="2" t="n">
        <v>5</v>
      </c>
      <c r="K57" s="3" t="n">
        <v>3.82</v>
      </c>
      <c r="L57" s="3" t="n">
        <v>19.1</v>
      </c>
      <c r="M57" s="3" t="n">
        <v>11.91</v>
      </c>
      <c r="N57" s="3" t="n">
        <v>7.19</v>
      </c>
    </row>
    <row r="58">
      <c r="A58" t="inlineStr">
        <is>
          <t>SO-2407-10056</t>
        </is>
      </c>
      <c r="B58" s="1" t="n">
        <v>45492</v>
      </c>
      <c r="C58" t="inlineStr">
        <is>
          <t>West</t>
        </is>
      </c>
      <c r="D58" t="inlineStr">
        <is>
          <t>AZ</t>
        </is>
      </c>
      <c r="E58" t="inlineStr">
        <is>
          <t>Phoenix</t>
        </is>
      </c>
      <c r="F58" t="inlineStr">
        <is>
          <t>Partner</t>
        </is>
      </c>
      <c r="G58" t="inlineStr">
        <is>
          <t>Consumer</t>
        </is>
      </c>
      <c r="H58" t="inlineStr">
        <is>
          <t>Office Supplies</t>
        </is>
      </c>
      <c r="I58" t="inlineStr">
        <is>
          <t>Binders</t>
        </is>
      </c>
      <c r="J58" s="2" t="n">
        <v>2</v>
      </c>
      <c r="K58" s="3" t="n">
        <v>8.5</v>
      </c>
      <c r="L58" s="3" t="n">
        <v>17</v>
      </c>
      <c r="M58" s="3" t="n">
        <v>11.26</v>
      </c>
      <c r="N58" s="3" t="n">
        <v>5.74</v>
      </c>
    </row>
    <row r="59">
      <c r="A59" t="inlineStr">
        <is>
          <t>SO-2503-10057</t>
        </is>
      </c>
      <c r="B59" s="1" t="n">
        <v>45730</v>
      </c>
      <c r="C59" t="inlineStr">
        <is>
          <t>Midwest</t>
        </is>
      </c>
      <c r="D59" t="inlineStr">
        <is>
          <t>MI</t>
        </is>
      </c>
      <c r="E59" t="inlineStr">
        <is>
          <t>Detroit</t>
        </is>
      </c>
      <c r="F59" t="inlineStr">
        <is>
          <t>In-Store</t>
        </is>
      </c>
      <c r="G59" t="inlineStr">
        <is>
          <t>Consumer</t>
        </is>
      </c>
      <c r="H59" t="inlineStr">
        <is>
          <t>Technology</t>
        </is>
      </c>
      <c r="I59" t="inlineStr">
        <is>
          <t>Mouse</t>
        </is>
      </c>
      <c r="J59" s="2" t="n">
        <v>3</v>
      </c>
      <c r="K59" s="3" t="n">
        <v>19.35</v>
      </c>
      <c r="L59" s="3" t="n">
        <v>58.05</v>
      </c>
      <c r="M59" s="3" t="n">
        <v>40.99</v>
      </c>
      <c r="N59" s="3" t="n">
        <v>17.06</v>
      </c>
    </row>
    <row r="60">
      <c r="A60" t="inlineStr">
        <is>
          <t>SO-2411-10058</t>
        </is>
      </c>
      <c r="B60" s="1" t="n">
        <v>45615</v>
      </c>
      <c r="C60" t="inlineStr">
        <is>
          <t>Midwest</t>
        </is>
      </c>
      <c r="D60" t="inlineStr">
        <is>
          <t>IL</t>
        </is>
      </c>
      <c r="E60" t="inlineStr">
        <is>
          <t>Chicago</t>
        </is>
      </c>
      <c r="F60" t="inlineStr">
        <is>
          <t>Online</t>
        </is>
      </c>
      <c r="G60" t="inlineStr">
        <is>
          <t>Corporate</t>
        </is>
      </c>
      <c r="H60" t="inlineStr">
        <is>
          <t>Office Supplies</t>
        </is>
      </c>
      <c r="I60" t="inlineStr">
        <is>
          <t>Binders</t>
        </is>
      </c>
      <c r="J60" s="2" t="n">
        <v>5</v>
      </c>
      <c r="K60" s="3" t="n">
        <v>10.39</v>
      </c>
      <c r="L60" s="3" t="n">
        <v>51.95</v>
      </c>
      <c r="M60" s="3" t="n">
        <v>29.73</v>
      </c>
      <c r="N60" s="3" t="n">
        <v>22.22</v>
      </c>
    </row>
    <row r="61">
      <c r="A61" t="inlineStr">
        <is>
          <t>SO-2402-10059</t>
        </is>
      </c>
      <c r="B61" s="1" t="n">
        <v>45342</v>
      </c>
      <c r="C61" t="inlineStr">
        <is>
          <t>West</t>
        </is>
      </c>
      <c r="D61" t="inlineStr">
        <is>
          <t>CA</t>
        </is>
      </c>
      <c r="E61" t="inlineStr">
        <is>
          <t>Los Angeles</t>
        </is>
      </c>
      <c r="F61" t="inlineStr">
        <is>
          <t>Partner</t>
        </is>
      </c>
      <c r="G61" t="inlineStr">
        <is>
          <t>Corporate</t>
        </is>
      </c>
      <c r="H61" t="inlineStr">
        <is>
          <t>Furniture</t>
        </is>
      </c>
      <c r="I61" t="inlineStr">
        <is>
          <t>Filing Cabinet</t>
        </is>
      </c>
      <c r="J61" s="2" t="n">
        <v>4</v>
      </c>
      <c r="K61" s="3" t="n">
        <v>179.83</v>
      </c>
      <c r="L61" s="3" t="n">
        <v>719.3200000000001</v>
      </c>
      <c r="M61" s="3" t="n">
        <v>505.2</v>
      </c>
      <c r="N61" s="3" t="n">
        <v>214.12</v>
      </c>
    </row>
    <row r="62">
      <c r="A62" t="inlineStr">
        <is>
          <t>SO-2502-10060</t>
        </is>
      </c>
      <c r="B62" s="1" t="n">
        <v>45716</v>
      </c>
      <c r="C62" t="inlineStr">
        <is>
          <t>West</t>
        </is>
      </c>
      <c r="D62" t="inlineStr">
        <is>
          <t>WA</t>
        </is>
      </c>
      <c r="E62" t="inlineStr">
        <is>
          <t>Seattle</t>
        </is>
      </c>
      <c r="F62" t="inlineStr">
        <is>
          <t>In-Store</t>
        </is>
      </c>
      <c r="G62" t="inlineStr">
        <is>
          <t>Corporate</t>
        </is>
      </c>
      <c r="H62" t="inlineStr">
        <is>
          <t>Furniture</t>
        </is>
      </c>
      <c r="I62" t="inlineStr">
        <is>
          <t>Bookshelf</t>
        </is>
      </c>
      <c r="J62" s="2" t="n">
        <v>5</v>
      </c>
      <c r="K62" s="3" t="n">
        <v>89.59999999999999</v>
      </c>
      <c r="L62" s="3" t="n">
        <v>448</v>
      </c>
      <c r="M62" s="3" t="n">
        <v>272.85</v>
      </c>
      <c r="N62" s="3" t="n">
        <v>175.15</v>
      </c>
    </row>
    <row r="63">
      <c r="A63" t="inlineStr">
        <is>
          <t>SO-2405-10061</t>
        </is>
      </c>
      <c r="B63" s="1" t="n">
        <v>45414</v>
      </c>
      <c r="C63" t="inlineStr">
        <is>
          <t>Midwest</t>
        </is>
      </c>
      <c r="D63" t="inlineStr">
        <is>
          <t>MI</t>
        </is>
      </c>
      <c r="E63" t="inlineStr">
        <is>
          <t>Detroit</t>
        </is>
      </c>
      <c r="F63" t="inlineStr">
        <is>
          <t>Online</t>
        </is>
      </c>
      <c r="G63" t="inlineStr">
        <is>
          <t>Small Business</t>
        </is>
      </c>
      <c r="H63" t="inlineStr">
        <is>
          <t>Furniture</t>
        </is>
      </c>
      <c r="I63" t="inlineStr">
        <is>
          <t>Bookshelf</t>
        </is>
      </c>
      <c r="J63" s="2" t="n">
        <v>4</v>
      </c>
      <c r="K63" s="3" t="n">
        <v>87.45999999999999</v>
      </c>
      <c r="L63" s="3" t="n">
        <v>349.84</v>
      </c>
      <c r="M63" s="3" t="n">
        <v>242.69</v>
      </c>
      <c r="N63" s="3" t="n">
        <v>107.15</v>
      </c>
    </row>
    <row r="64">
      <c r="A64" t="inlineStr">
        <is>
          <t>SO-2503-10062</t>
        </is>
      </c>
      <c r="B64" s="1" t="n">
        <v>45729</v>
      </c>
      <c r="C64" t="inlineStr">
        <is>
          <t>Northeast</t>
        </is>
      </c>
      <c r="D64" t="inlineStr">
        <is>
          <t>NY</t>
        </is>
      </c>
      <c r="E64" t="inlineStr">
        <is>
          <t>New York</t>
        </is>
      </c>
      <c r="F64" t="inlineStr">
        <is>
          <t>Online</t>
        </is>
      </c>
      <c r="G64" t="inlineStr">
        <is>
          <t>Small Business</t>
        </is>
      </c>
      <c r="H64" t="inlineStr">
        <is>
          <t>Office Supplies</t>
        </is>
      </c>
      <c r="I64" t="inlineStr">
        <is>
          <t>Stapler</t>
        </is>
      </c>
      <c r="J64" s="2" t="n">
        <v>2</v>
      </c>
      <c r="K64" s="3" t="n">
        <v>13.19</v>
      </c>
      <c r="L64" s="3" t="n">
        <v>26.38</v>
      </c>
      <c r="M64" s="3" t="n">
        <v>16.3</v>
      </c>
      <c r="N64" s="3" t="n">
        <v>10.08</v>
      </c>
    </row>
    <row r="65">
      <c r="A65" t="inlineStr">
        <is>
          <t>SO-2508-10063</t>
        </is>
      </c>
      <c r="B65" s="1" t="n">
        <v>45875</v>
      </c>
      <c r="C65" t="inlineStr">
        <is>
          <t>Northeast</t>
        </is>
      </c>
      <c r="D65" t="inlineStr">
        <is>
          <t>MA</t>
        </is>
      </c>
      <c r="E65" t="inlineStr">
        <is>
          <t>Boston</t>
        </is>
      </c>
      <c r="F65" t="inlineStr">
        <is>
          <t>Online</t>
        </is>
      </c>
      <c r="G65" t="inlineStr">
        <is>
          <t>Consumer</t>
        </is>
      </c>
      <c r="H65" t="inlineStr">
        <is>
          <t>Office Supplies</t>
        </is>
      </c>
      <c r="I65" t="inlineStr">
        <is>
          <t>Pens</t>
        </is>
      </c>
      <c r="J65" s="2" t="n">
        <v>1</v>
      </c>
      <c r="K65" s="3" t="n">
        <v>4.28</v>
      </c>
      <c r="L65" s="3" t="n">
        <v>4.28</v>
      </c>
      <c r="M65" s="3" t="n">
        <v>2.41</v>
      </c>
      <c r="N65" s="3" t="n">
        <v>1.87</v>
      </c>
    </row>
    <row r="66">
      <c r="A66" t="inlineStr">
        <is>
          <t>SO-2501-10064</t>
        </is>
      </c>
      <c r="B66" s="1" t="n">
        <v>45660</v>
      </c>
      <c r="C66" t="inlineStr">
        <is>
          <t>West</t>
        </is>
      </c>
      <c r="D66" t="inlineStr">
        <is>
          <t>CO</t>
        </is>
      </c>
      <c r="E66" t="inlineStr">
        <is>
          <t>Denver</t>
        </is>
      </c>
      <c r="F66" t="inlineStr">
        <is>
          <t>Online</t>
        </is>
      </c>
      <c r="G66" t="inlineStr">
        <is>
          <t>Small Business</t>
        </is>
      </c>
      <c r="H66" t="inlineStr">
        <is>
          <t>Technology</t>
        </is>
      </c>
      <c r="I66" t="inlineStr">
        <is>
          <t>Keyboard</t>
        </is>
      </c>
      <c r="J66" s="2" t="n">
        <v>6</v>
      </c>
      <c r="K66" s="3" t="n">
        <v>38.51</v>
      </c>
      <c r="L66" s="3" t="n">
        <v>231.06</v>
      </c>
      <c r="M66" s="3" t="n">
        <v>141.22</v>
      </c>
      <c r="N66" s="3" t="n">
        <v>89.84</v>
      </c>
    </row>
    <row r="67">
      <c r="A67" t="inlineStr">
        <is>
          <t>SO-2401-10065</t>
        </is>
      </c>
      <c r="B67" s="1" t="n">
        <v>45314</v>
      </c>
      <c r="C67" t="inlineStr">
        <is>
          <t>Northeast</t>
        </is>
      </c>
      <c r="D67" t="inlineStr">
        <is>
          <t>NY</t>
        </is>
      </c>
      <c r="E67" t="inlineStr">
        <is>
          <t>New York</t>
        </is>
      </c>
      <c r="F67" t="inlineStr">
        <is>
          <t>Online</t>
        </is>
      </c>
      <c r="G67" t="inlineStr">
        <is>
          <t>Consumer</t>
        </is>
      </c>
      <c r="H67" t="inlineStr">
        <is>
          <t>Technology</t>
        </is>
      </c>
      <c r="I67" t="inlineStr">
        <is>
          <t>Keyboard</t>
        </is>
      </c>
      <c r="J67" s="2" t="n">
        <v>1</v>
      </c>
      <c r="K67" s="3" t="n">
        <v>38.61</v>
      </c>
      <c r="L67" s="3" t="n">
        <v>38.61</v>
      </c>
      <c r="M67" s="3" t="n">
        <v>26.17</v>
      </c>
      <c r="N67" s="3" t="n">
        <v>12.44</v>
      </c>
    </row>
    <row r="68">
      <c r="A68" t="inlineStr">
        <is>
          <t>SO-2504-10066</t>
        </is>
      </c>
      <c r="B68" s="1" t="n">
        <v>45771</v>
      </c>
      <c r="C68" t="inlineStr">
        <is>
          <t>West</t>
        </is>
      </c>
      <c r="D68" t="inlineStr">
        <is>
          <t>CO</t>
        </is>
      </c>
      <c r="E68" t="inlineStr">
        <is>
          <t>Denver</t>
        </is>
      </c>
      <c r="F68" t="inlineStr">
        <is>
          <t>In-Store</t>
        </is>
      </c>
      <c r="G68" t="inlineStr">
        <is>
          <t>Consumer</t>
        </is>
      </c>
      <c r="H68" t="inlineStr">
        <is>
          <t>Furniture</t>
        </is>
      </c>
      <c r="I68" t="inlineStr">
        <is>
          <t>Filing Cabinet</t>
        </is>
      </c>
      <c r="J68" s="2" t="n">
        <v>3</v>
      </c>
      <c r="K68" s="3" t="n">
        <v>136</v>
      </c>
      <c r="L68" s="3" t="n">
        <v>408</v>
      </c>
      <c r="M68" s="3" t="n">
        <v>293.9</v>
      </c>
      <c r="N68" s="3" t="n">
        <v>114.1</v>
      </c>
    </row>
    <row r="69">
      <c r="A69" t="inlineStr">
        <is>
          <t>SO-2510-10067</t>
        </is>
      </c>
      <c r="B69" s="1" t="n">
        <v>45954</v>
      </c>
      <c r="C69" t="inlineStr">
        <is>
          <t>South</t>
        </is>
      </c>
      <c r="D69" t="inlineStr">
        <is>
          <t>AL</t>
        </is>
      </c>
      <c r="E69" t="inlineStr">
        <is>
          <t>Birmingham</t>
        </is>
      </c>
      <c r="F69" t="inlineStr">
        <is>
          <t>In-Store</t>
        </is>
      </c>
      <c r="G69" t="inlineStr">
        <is>
          <t>Consumer</t>
        </is>
      </c>
      <c r="H69" t="inlineStr">
        <is>
          <t>Office Supplies</t>
        </is>
      </c>
      <c r="I69" t="inlineStr">
        <is>
          <t>Pens</t>
        </is>
      </c>
      <c r="J69" s="2" t="n">
        <v>3</v>
      </c>
      <c r="K69" s="3" t="n">
        <v>4.52</v>
      </c>
      <c r="L69" s="3" t="n">
        <v>13.56</v>
      </c>
      <c r="M69" s="3" t="n">
        <v>8.85</v>
      </c>
      <c r="N69" s="3" t="n">
        <v>4.71</v>
      </c>
    </row>
    <row r="70">
      <c r="A70" t="inlineStr">
        <is>
          <t>SO-2510-10068</t>
        </is>
      </c>
      <c r="B70" s="1" t="n">
        <v>45933</v>
      </c>
      <c r="C70" t="inlineStr">
        <is>
          <t>South</t>
        </is>
      </c>
      <c r="D70" t="inlineStr">
        <is>
          <t>GA</t>
        </is>
      </c>
      <c r="E70" t="inlineStr">
        <is>
          <t>Atlanta</t>
        </is>
      </c>
      <c r="F70" t="inlineStr">
        <is>
          <t>In-Store</t>
        </is>
      </c>
      <c r="G70" t="inlineStr">
        <is>
          <t>Small Business</t>
        </is>
      </c>
      <c r="H70" t="inlineStr">
        <is>
          <t>Office Supplies</t>
        </is>
      </c>
      <c r="I70" t="inlineStr">
        <is>
          <t>Pens</t>
        </is>
      </c>
      <c r="J70" s="2" t="n">
        <v>3</v>
      </c>
      <c r="K70" s="3" t="n">
        <v>4.58</v>
      </c>
      <c r="L70" s="3" t="n">
        <v>13.74</v>
      </c>
      <c r="M70" s="3" t="n">
        <v>7.63</v>
      </c>
      <c r="N70" s="3" t="n">
        <v>6.11</v>
      </c>
    </row>
    <row r="71">
      <c r="A71" t="inlineStr">
        <is>
          <t>SO-2509-10069</t>
        </is>
      </c>
      <c r="B71" s="1" t="n">
        <v>45907</v>
      </c>
      <c r="C71" t="inlineStr">
        <is>
          <t>West</t>
        </is>
      </c>
      <c r="D71" t="inlineStr">
        <is>
          <t>CA</t>
        </is>
      </c>
      <c r="E71" t="inlineStr">
        <is>
          <t>Los Angeles</t>
        </is>
      </c>
      <c r="F71" t="inlineStr">
        <is>
          <t>Online</t>
        </is>
      </c>
      <c r="G71" t="inlineStr">
        <is>
          <t>Consumer</t>
        </is>
      </c>
      <c r="H71" t="inlineStr">
        <is>
          <t>Office Supplies</t>
        </is>
      </c>
      <c r="I71" t="inlineStr">
        <is>
          <t>Paper</t>
        </is>
      </c>
      <c r="J71" s="2" t="n">
        <v>2</v>
      </c>
      <c r="K71" s="3" t="n">
        <v>6.57</v>
      </c>
      <c r="L71" s="3" t="n">
        <v>13.14</v>
      </c>
      <c r="M71" s="3" t="n">
        <v>9.09</v>
      </c>
      <c r="N71" s="3" t="n">
        <v>4.05</v>
      </c>
    </row>
    <row r="72">
      <c r="A72" t="inlineStr">
        <is>
          <t>SO-2409-10070</t>
        </is>
      </c>
      <c r="B72" s="1" t="n">
        <v>45544</v>
      </c>
      <c r="C72" t="inlineStr">
        <is>
          <t>Midwest</t>
        </is>
      </c>
      <c r="D72" t="inlineStr">
        <is>
          <t>MN</t>
        </is>
      </c>
      <c r="E72" t="inlineStr">
        <is>
          <t>Minneapolis</t>
        </is>
      </c>
      <c r="F72" t="inlineStr">
        <is>
          <t>Online</t>
        </is>
      </c>
      <c r="G72" t="inlineStr">
        <is>
          <t>Corporate</t>
        </is>
      </c>
      <c r="H72" t="inlineStr">
        <is>
          <t>Technology</t>
        </is>
      </c>
      <c r="I72" t="inlineStr">
        <is>
          <t>Monitor</t>
        </is>
      </c>
      <c r="J72" s="2" t="n">
        <v>4</v>
      </c>
      <c r="K72" s="3" t="n">
        <v>187.8</v>
      </c>
      <c r="L72" s="3" t="n">
        <v>751.2</v>
      </c>
      <c r="M72" s="3" t="n">
        <v>514.99</v>
      </c>
      <c r="N72" s="3" t="n">
        <v>236.21</v>
      </c>
    </row>
    <row r="73">
      <c r="A73" t="inlineStr">
        <is>
          <t>SO-2511-10071</t>
        </is>
      </c>
      <c r="B73" s="1" t="n">
        <v>45975</v>
      </c>
      <c r="C73" t="inlineStr">
        <is>
          <t>Midwest</t>
        </is>
      </c>
      <c r="D73" t="inlineStr">
        <is>
          <t>IL</t>
        </is>
      </c>
      <c r="E73" t="inlineStr">
        <is>
          <t>Chicago</t>
        </is>
      </c>
      <c r="F73" t="inlineStr">
        <is>
          <t>In-Store</t>
        </is>
      </c>
      <c r="G73" t="inlineStr">
        <is>
          <t>Corporate</t>
        </is>
      </c>
      <c r="H73" t="inlineStr">
        <is>
          <t>Office Supplies</t>
        </is>
      </c>
      <c r="I73" t="inlineStr">
        <is>
          <t>Pens</t>
        </is>
      </c>
      <c r="J73" s="2" t="n">
        <v>4</v>
      </c>
      <c r="K73" s="3" t="n">
        <v>4.49</v>
      </c>
      <c r="L73" s="3" t="n">
        <v>17.96</v>
      </c>
      <c r="M73" s="3" t="n">
        <v>11.7</v>
      </c>
      <c r="N73" s="3" t="n">
        <v>6.26</v>
      </c>
    </row>
    <row r="74">
      <c r="A74" t="inlineStr">
        <is>
          <t>SO-2410-10072</t>
        </is>
      </c>
      <c r="B74" s="1" t="n">
        <v>45591</v>
      </c>
      <c r="C74" t="inlineStr">
        <is>
          <t>Northeast</t>
        </is>
      </c>
      <c r="D74" t="inlineStr">
        <is>
          <t>NJ</t>
        </is>
      </c>
      <c r="E74" t="inlineStr">
        <is>
          <t>Newark</t>
        </is>
      </c>
      <c r="F74" t="inlineStr">
        <is>
          <t>Partner</t>
        </is>
      </c>
      <c r="G74" t="inlineStr">
        <is>
          <t>Small Business</t>
        </is>
      </c>
      <c r="H74" t="inlineStr">
        <is>
          <t>Office Supplies</t>
        </is>
      </c>
      <c r="I74" t="inlineStr">
        <is>
          <t>Binders</t>
        </is>
      </c>
      <c r="J74" s="2" t="n">
        <v>1</v>
      </c>
      <c r="K74" s="3" t="n">
        <v>10.64</v>
      </c>
      <c r="L74" s="3" t="n">
        <v>10.64</v>
      </c>
      <c r="M74" s="3" t="n">
        <v>6.43</v>
      </c>
      <c r="N74" s="3" t="n">
        <v>4.21</v>
      </c>
    </row>
    <row r="75">
      <c r="A75" t="inlineStr">
        <is>
          <t>SO-2410-10073</t>
        </is>
      </c>
      <c r="B75" s="1" t="n">
        <v>45594</v>
      </c>
      <c r="C75" t="inlineStr">
        <is>
          <t>South</t>
        </is>
      </c>
      <c r="D75" t="inlineStr">
        <is>
          <t>AL</t>
        </is>
      </c>
      <c r="E75" t="inlineStr">
        <is>
          <t>Birmingham</t>
        </is>
      </c>
      <c r="F75" t="inlineStr">
        <is>
          <t>Online</t>
        </is>
      </c>
      <c r="G75" t="inlineStr">
        <is>
          <t>Small Business</t>
        </is>
      </c>
      <c r="H75" t="inlineStr">
        <is>
          <t>Technology</t>
        </is>
      </c>
      <c r="I75" t="inlineStr">
        <is>
          <t>Keyboard</t>
        </is>
      </c>
      <c r="J75" s="2" t="n">
        <v>1</v>
      </c>
      <c r="K75" s="3" t="n">
        <v>37.73</v>
      </c>
      <c r="L75" s="3" t="n">
        <v>37.73</v>
      </c>
      <c r="M75" s="3" t="n">
        <v>24.21</v>
      </c>
      <c r="N75" s="3" t="n">
        <v>13.52</v>
      </c>
    </row>
    <row r="76">
      <c r="A76" t="inlineStr">
        <is>
          <t>SO-2502-10074</t>
        </is>
      </c>
      <c r="B76" s="1" t="n">
        <v>45694</v>
      </c>
      <c r="C76" t="inlineStr">
        <is>
          <t>West</t>
        </is>
      </c>
      <c r="D76" t="inlineStr">
        <is>
          <t>WA</t>
        </is>
      </c>
      <c r="E76" t="inlineStr">
        <is>
          <t>Seattle</t>
        </is>
      </c>
      <c r="F76" t="inlineStr">
        <is>
          <t>Online</t>
        </is>
      </c>
      <c r="G76" t="inlineStr">
        <is>
          <t>Consumer</t>
        </is>
      </c>
      <c r="H76" t="inlineStr">
        <is>
          <t>Office Supplies</t>
        </is>
      </c>
      <c r="I76" t="inlineStr">
        <is>
          <t>Stapler</t>
        </is>
      </c>
      <c r="J76" s="2" t="n">
        <v>1</v>
      </c>
      <c r="K76" s="3" t="n">
        <v>12.67</v>
      </c>
      <c r="L76" s="3" t="n">
        <v>12.67</v>
      </c>
      <c r="M76" s="3" t="n">
        <v>8.23</v>
      </c>
      <c r="N76" s="3" t="n">
        <v>4.44</v>
      </c>
    </row>
    <row r="77">
      <c r="A77" t="inlineStr">
        <is>
          <t>SO-2411-10075</t>
        </is>
      </c>
      <c r="B77" s="1" t="n">
        <v>45613</v>
      </c>
      <c r="C77" t="inlineStr">
        <is>
          <t>South</t>
        </is>
      </c>
      <c r="D77" t="inlineStr">
        <is>
          <t>AL</t>
        </is>
      </c>
      <c r="E77" t="inlineStr">
        <is>
          <t>Birmingham</t>
        </is>
      </c>
      <c r="F77" t="inlineStr">
        <is>
          <t>Partner</t>
        </is>
      </c>
      <c r="G77" t="inlineStr">
        <is>
          <t>Consumer</t>
        </is>
      </c>
      <c r="H77" t="inlineStr">
        <is>
          <t>Technology</t>
        </is>
      </c>
      <c r="I77" t="inlineStr">
        <is>
          <t>Mouse</t>
        </is>
      </c>
      <c r="J77" s="2" t="n">
        <v>2</v>
      </c>
      <c r="K77" s="3" t="n">
        <v>21.25</v>
      </c>
      <c r="L77" s="3" t="n">
        <v>42.5</v>
      </c>
      <c r="M77" s="3" t="n">
        <v>28.94</v>
      </c>
      <c r="N77" s="3" t="n">
        <v>13.56</v>
      </c>
    </row>
    <row r="78">
      <c r="A78" t="inlineStr">
        <is>
          <t>SO-2511-10076</t>
        </is>
      </c>
      <c r="B78" s="1" t="n">
        <v>45972</v>
      </c>
      <c r="C78" t="inlineStr">
        <is>
          <t>South</t>
        </is>
      </c>
      <c r="D78" t="inlineStr">
        <is>
          <t>AL</t>
        </is>
      </c>
      <c r="E78" t="inlineStr">
        <is>
          <t>Birmingham</t>
        </is>
      </c>
      <c r="F78" t="inlineStr">
        <is>
          <t>Partner</t>
        </is>
      </c>
      <c r="G78" t="inlineStr">
        <is>
          <t>Corporate</t>
        </is>
      </c>
      <c r="H78" t="inlineStr">
        <is>
          <t>Technology</t>
        </is>
      </c>
      <c r="I78" t="inlineStr">
        <is>
          <t>Keyboard</t>
        </is>
      </c>
      <c r="J78" s="2" t="n">
        <v>1</v>
      </c>
      <c r="K78" s="3" t="n">
        <v>36.22</v>
      </c>
      <c r="L78" s="3" t="n">
        <v>36.22</v>
      </c>
      <c r="M78" s="3" t="n">
        <v>26.6</v>
      </c>
      <c r="N78" s="3" t="n">
        <v>9.619999999999999</v>
      </c>
    </row>
    <row r="79">
      <c r="A79" t="inlineStr">
        <is>
          <t>SO-2405-10077</t>
        </is>
      </c>
      <c r="B79" s="1" t="n">
        <v>45418</v>
      </c>
      <c r="C79" t="inlineStr">
        <is>
          <t>Midwest</t>
        </is>
      </c>
      <c r="D79" t="inlineStr">
        <is>
          <t>MI</t>
        </is>
      </c>
      <c r="E79" t="inlineStr">
        <is>
          <t>Detroit</t>
        </is>
      </c>
      <c r="F79" t="inlineStr">
        <is>
          <t>Partner</t>
        </is>
      </c>
      <c r="G79" t="inlineStr">
        <is>
          <t>Consumer</t>
        </is>
      </c>
      <c r="H79" t="inlineStr">
        <is>
          <t>Technology</t>
        </is>
      </c>
      <c r="I79" t="inlineStr">
        <is>
          <t>Keyboard</t>
        </is>
      </c>
      <c r="J79" s="2" t="n">
        <v>3</v>
      </c>
      <c r="K79" s="3" t="n">
        <v>35.3</v>
      </c>
      <c r="L79" s="3" t="n">
        <v>105.9</v>
      </c>
      <c r="M79" s="3" t="n">
        <v>65.08</v>
      </c>
      <c r="N79" s="3" t="n">
        <v>40.82</v>
      </c>
    </row>
    <row r="80">
      <c r="A80" t="inlineStr">
        <is>
          <t>SO-2504-10078</t>
        </is>
      </c>
      <c r="B80" s="1" t="n">
        <v>45749</v>
      </c>
      <c r="C80" t="inlineStr">
        <is>
          <t>West</t>
        </is>
      </c>
      <c r="D80" t="inlineStr">
        <is>
          <t>AZ</t>
        </is>
      </c>
      <c r="E80" t="inlineStr">
        <is>
          <t>Phoenix</t>
        </is>
      </c>
      <c r="F80" t="inlineStr">
        <is>
          <t>Online</t>
        </is>
      </c>
      <c r="G80" t="inlineStr">
        <is>
          <t>Corporate</t>
        </is>
      </c>
      <c r="H80" t="inlineStr">
        <is>
          <t>Technology</t>
        </is>
      </c>
      <c r="I80" t="inlineStr">
        <is>
          <t>Laptop Stand</t>
        </is>
      </c>
      <c r="J80" s="2" t="n">
        <v>1</v>
      </c>
      <c r="K80" s="3" t="n">
        <v>26.28</v>
      </c>
      <c r="L80" s="3" t="n">
        <v>26.28</v>
      </c>
      <c r="M80" s="3" t="n">
        <v>16.69</v>
      </c>
      <c r="N80" s="3" t="n">
        <v>9.59</v>
      </c>
    </row>
    <row r="81">
      <c r="A81" t="inlineStr">
        <is>
          <t>SO-2504-10079</t>
        </is>
      </c>
      <c r="B81" s="1" t="n">
        <v>45767</v>
      </c>
      <c r="C81" t="inlineStr">
        <is>
          <t>Midwest</t>
        </is>
      </c>
      <c r="D81" t="inlineStr">
        <is>
          <t>MN</t>
        </is>
      </c>
      <c r="E81" t="inlineStr">
        <is>
          <t>Minneapolis</t>
        </is>
      </c>
      <c r="F81" t="inlineStr">
        <is>
          <t>Online</t>
        </is>
      </c>
      <c r="G81" t="inlineStr">
        <is>
          <t>Consumer</t>
        </is>
      </c>
      <c r="H81" t="inlineStr">
        <is>
          <t>Office Supplies</t>
        </is>
      </c>
      <c r="I81" t="inlineStr">
        <is>
          <t>Stapler</t>
        </is>
      </c>
      <c r="J81" s="2" t="n">
        <v>5</v>
      </c>
      <c r="K81" s="3" t="n">
        <v>12.01</v>
      </c>
      <c r="L81" s="3" t="n">
        <v>60.05</v>
      </c>
      <c r="M81" s="3" t="n">
        <v>38.66</v>
      </c>
      <c r="N81" s="3" t="n">
        <v>21.39</v>
      </c>
    </row>
    <row r="82">
      <c r="A82" t="inlineStr">
        <is>
          <t>SO-2509-10080</t>
        </is>
      </c>
      <c r="B82" s="1" t="n">
        <v>45923</v>
      </c>
      <c r="C82" t="inlineStr">
        <is>
          <t>Midwest</t>
        </is>
      </c>
      <c r="D82" t="inlineStr">
        <is>
          <t>OH</t>
        </is>
      </c>
      <c r="E82" t="inlineStr">
        <is>
          <t>Columbus</t>
        </is>
      </c>
      <c r="F82" t="inlineStr">
        <is>
          <t>Online</t>
        </is>
      </c>
      <c r="G82" t="inlineStr">
        <is>
          <t>Corporate</t>
        </is>
      </c>
      <c r="H82" t="inlineStr">
        <is>
          <t>Furniture</t>
        </is>
      </c>
      <c r="I82" t="inlineStr">
        <is>
          <t>Desk Chair</t>
        </is>
      </c>
      <c r="J82" s="2" t="n">
        <v>4</v>
      </c>
      <c r="K82" s="3" t="n">
        <v>145.53</v>
      </c>
      <c r="L82" s="3" t="n">
        <v>582.12</v>
      </c>
      <c r="M82" s="3" t="n">
        <v>432.4</v>
      </c>
      <c r="N82" s="3" t="n">
        <v>149.72</v>
      </c>
    </row>
    <row r="83">
      <c r="A83" t="inlineStr">
        <is>
          <t>SO-2403-10081</t>
        </is>
      </c>
      <c r="B83" s="1" t="n">
        <v>45358</v>
      </c>
      <c r="C83" t="inlineStr">
        <is>
          <t>Midwest</t>
        </is>
      </c>
      <c r="D83" t="inlineStr">
        <is>
          <t>MI</t>
        </is>
      </c>
      <c r="E83" t="inlineStr">
        <is>
          <t>Detroit</t>
        </is>
      </c>
      <c r="F83" t="inlineStr">
        <is>
          <t>Online</t>
        </is>
      </c>
      <c r="G83" t="inlineStr">
        <is>
          <t>Consumer</t>
        </is>
      </c>
      <c r="H83" t="inlineStr">
        <is>
          <t>Technology</t>
        </is>
      </c>
      <c r="I83" t="inlineStr">
        <is>
          <t>Mouse</t>
        </is>
      </c>
      <c r="J83" s="2" t="n">
        <v>4</v>
      </c>
      <c r="K83" s="3" t="n">
        <v>21.32</v>
      </c>
      <c r="L83" s="3" t="n">
        <v>85.28</v>
      </c>
      <c r="M83" s="3" t="n">
        <v>63.54</v>
      </c>
      <c r="N83" s="3" t="n">
        <v>21.74</v>
      </c>
    </row>
    <row r="84">
      <c r="A84" t="inlineStr">
        <is>
          <t>SO-2505-10082</t>
        </is>
      </c>
      <c r="B84" s="1" t="n">
        <v>45797</v>
      </c>
      <c r="C84" t="inlineStr">
        <is>
          <t>South</t>
        </is>
      </c>
      <c r="D84" t="inlineStr">
        <is>
          <t>TN</t>
        </is>
      </c>
      <c r="E84" t="inlineStr">
        <is>
          <t>Nashville</t>
        </is>
      </c>
      <c r="F84" t="inlineStr">
        <is>
          <t>Online</t>
        </is>
      </c>
      <c r="G84" t="inlineStr">
        <is>
          <t>Corporate</t>
        </is>
      </c>
      <c r="H84" t="inlineStr">
        <is>
          <t>Furniture</t>
        </is>
      </c>
      <c r="I84" t="inlineStr">
        <is>
          <t>Filing Cabinet</t>
        </is>
      </c>
      <c r="J84" s="2" t="n">
        <v>3</v>
      </c>
      <c r="K84" s="3" t="n">
        <v>181.78</v>
      </c>
      <c r="L84" s="3" t="n">
        <v>545.34</v>
      </c>
      <c r="M84" s="3" t="n">
        <v>356.16</v>
      </c>
      <c r="N84" s="3" t="n">
        <v>189.18</v>
      </c>
    </row>
    <row r="85">
      <c r="A85" t="inlineStr">
        <is>
          <t>SO-2411-10083</t>
        </is>
      </c>
      <c r="B85" s="1" t="n">
        <v>45619</v>
      </c>
      <c r="C85" t="inlineStr">
        <is>
          <t>Northeast</t>
        </is>
      </c>
      <c r="D85" t="inlineStr">
        <is>
          <t>NY</t>
        </is>
      </c>
      <c r="E85" t="inlineStr">
        <is>
          <t>New York</t>
        </is>
      </c>
      <c r="F85" t="inlineStr">
        <is>
          <t>In-Store</t>
        </is>
      </c>
      <c r="G85" t="inlineStr">
        <is>
          <t>Corporate</t>
        </is>
      </c>
      <c r="H85" t="inlineStr">
        <is>
          <t>Furniture</t>
        </is>
      </c>
      <c r="I85" t="inlineStr">
        <is>
          <t>Bookshelf</t>
        </is>
      </c>
      <c r="J85" s="2" t="n">
        <v>1</v>
      </c>
      <c r="K85" s="3" t="n">
        <v>98.7</v>
      </c>
      <c r="L85" s="3" t="n">
        <v>98.7</v>
      </c>
      <c r="M85" s="3" t="n">
        <v>62.75</v>
      </c>
      <c r="N85" s="3" t="n">
        <v>35.95</v>
      </c>
    </row>
    <row r="86">
      <c r="A86" t="inlineStr">
        <is>
          <t>SO-2411-10084</t>
        </is>
      </c>
      <c r="B86" s="1" t="n">
        <v>45625</v>
      </c>
      <c r="C86" t="inlineStr">
        <is>
          <t>South</t>
        </is>
      </c>
      <c r="D86" t="inlineStr">
        <is>
          <t>AL</t>
        </is>
      </c>
      <c r="E86" t="inlineStr">
        <is>
          <t>Birmingham</t>
        </is>
      </c>
      <c r="F86" t="inlineStr">
        <is>
          <t>Online</t>
        </is>
      </c>
      <c r="G86" t="inlineStr">
        <is>
          <t>Corporate</t>
        </is>
      </c>
      <c r="H86" t="inlineStr">
        <is>
          <t>Technology</t>
        </is>
      </c>
      <c r="I86" t="inlineStr">
        <is>
          <t>Keyboard</t>
        </is>
      </c>
      <c r="J86" s="2" t="n">
        <v>4</v>
      </c>
      <c r="K86" s="3" t="n">
        <v>36.96</v>
      </c>
      <c r="L86" s="3" t="n">
        <v>147.84</v>
      </c>
      <c r="M86" s="3" t="n">
        <v>89.61</v>
      </c>
      <c r="N86" s="3" t="n">
        <v>58.23</v>
      </c>
    </row>
    <row r="87">
      <c r="A87" t="inlineStr">
        <is>
          <t>SO-2406-10085</t>
        </is>
      </c>
      <c r="B87" s="1" t="n">
        <v>45469</v>
      </c>
      <c r="C87" t="inlineStr">
        <is>
          <t>South</t>
        </is>
      </c>
      <c r="D87" t="inlineStr">
        <is>
          <t>GA</t>
        </is>
      </c>
      <c r="E87" t="inlineStr">
        <is>
          <t>Atlanta</t>
        </is>
      </c>
      <c r="F87" t="inlineStr">
        <is>
          <t>Online</t>
        </is>
      </c>
      <c r="G87" t="inlineStr">
        <is>
          <t>Consumer</t>
        </is>
      </c>
      <c r="H87" t="inlineStr">
        <is>
          <t>Technology</t>
        </is>
      </c>
      <c r="I87" t="inlineStr">
        <is>
          <t>Mouse</t>
        </is>
      </c>
      <c r="J87" s="2" t="n">
        <v>1</v>
      </c>
      <c r="K87" s="3" t="n">
        <v>18.24</v>
      </c>
      <c r="L87" s="3" t="n">
        <v>18.24</v>
      </c>
      <c r="M87" s="3" t="n">
        <v>14.19</v>
      </c>
      <c r="N87" s="3" t="n">
        <v>4.05</v>
      </c>
    </row>
    <row r="88">
      <c r="A88" t="inlineStr">
        <is>
          <t>SO-2410-10086</t>
        </is>
      </c>
      <c r="B88" s="1" t="n">
        <v>45592</v>
      </c>
      <c r="C88" t="inlineStr">
        <is>
          <t>West</t>
        </is>
      </c>
      <c r="D88" t="inlineStr">
        <is>
          <t>CO</t>
        </is>
      </c>
      <c r="E88" t="inlineStr">
        <is>
          <t>Denver</t>
        </is>
      </c>
      <c r="F88" t="inlineStr">
        <is>
          <t>In-Store</t>
        </is>
      </c>
      <c r="G88" t="inlineStr">
        <is>
          <t>Corporate</t>
        </is>
      </c>
      <c r="H88" t="inlineStr">
        <is>
          <t>Furniture</t>
        </is>
      </c>
      <c r="I88" t="inlineStr">
        <is>
          <t>Standing Desk</t>
        </is>
      </c>
      <c r="J88" s="2" t="n">
        <v>1</v>
      </c>
      <c r="K88" s="3" t="n">
        <v>322.31</v>
      </c>
      <c r="L88" s="3" t="n">
        <v>322.31</v>
      </c>
      <c r="M88" s="3" t="n">
        <v>193.58</v>
      </c>
      <c r="N88" s="3" t="n">
        <v>128.73</v>
      </c>
    </row>
    <row r="89">
      <c r="A89" t="inlineStr">
        <is>
          <t>SO-2508-10087</t>
        </is>
      </c>
      <c r="B89" s="1" t="n">
        <v>45884</v>
      </c>
      <c r="C89" t="inlineStr">
        <is>
          <t>Midwest</t>
        </is>
      </c>
      <c r="D89" t="inlineStr">
        <is>
          <t>MI</t>
        </is>
      </c>
      <c r="E89" t="inlineStr">
        <is>
          <t>Detroit</t>
        </is>
      </c>
      <c r="F89" t="inlineStr">
        <is>
          <t>Online</t>
        </is>
      </c>
      <c r="G89" t="inlineStr">
        <is>
          <t>Corporate</t>
        </is>
      </c>
      <c r="H89" t="inlineStr">
        <is>
          <t>Technology</t>
        </is>
      </c>
      <c r="I89" t="inlineStr">
        <is>
          <t>Monitor</t>
        </is>
      </c>
      <c r="J89" s="2" t="n">
        <v>1</v>
      </c>
      <c r="K89" s="3" t="n">
        <v>163.75</v>
      </c>
      <c r="L89" s="3" t="n">
        <v>163.75</v>
      </c>
      <c r="M89" s="3" t="n">
        <v>105.48</v>
      </c>
      <c r="N89" s="3" t="n">
        <v>58.27</v>
      </c>
    </row>
    <row r="90">
      <c r="A90" t="inlineStr">
        <is>
          <t>SO-2402-10088</t>
        </is>
      </c>
      <c r="B90" s="1" t="n">
        <v>45329</v>
      </c>
      <c r="C90" t="inlineStr">
        <is>
          <t>South</t>
        </is>
      </c>
      <c r="D90" t="inlineStr">
        <is>
          <t>TN</t>
        </is>
      </c>
      <c r="E90" t="inlineStr">
        <is>
          <t>Nashville</t>
        </is>
      </c>
      <c r="F90" t="inlineStr">
        <is>
          <t>Online</t>
        </is>
      </c>
      <c r="G90" t="inlineStr">
        <is>
          <t>Consumer</t>
        </is>
      </c>
      <c r="H90" t="inlineStr">
        <is>
          <t>Technology</t>
        </is>
      </c>
      <c r="I90" t="inlineStr">
        <is>
          <t>Keyboard</t>
        </is>
      </c>
      <c r="J90" s="2" t="n">
        <v>2</v>
      </c>
      <c r="K90" s="3" t="n">
        <v>40.08</v>
      </c>
      <c r="L90" s="3" t="n">
        <v>80.16</v>
      </c>
      <c r="M90" s="3" t="n">
        <v>59.76</v>
      </c>
      <c r="N90" s="3" t="n">
        <v>20.4</v>
      </c>
    </row>
    <row r="91">
      <c r="A91" t="inlineStr">
        <is>
          <t>SO-2508-10089</t>
        </is>
      </c>
      <c r="B91" s="1" t="n">
        <v>45889</v>
      </c>
      <c r="C91" t="inlineStr">
        <is>
          <t>West</t>
        </is>
      </c>
      <c r="D91" t="inlineStr">
        <is>
          <t>WA</t>
        </is>
      </c>
      <c r="E91" t="inlineStr">
        <is>
          <t>Seattle</t>
        </is>
      </c>
      <c r="F91" t="inlineStr">
        <is>
          <t>Online</t>
        </is>
      </c>
      <c r="G91" t="inlineStr">
        <is>
          <t>Consumer</t>
        </is>
      </c>
      <c r="H91" t="inlineStr">
        <is>
          <t>Technology</t>
        </is>
      </c>
      <c r="I91" t="inlineStr">
        <is>
          <t>Monitor</t>
        </is>
      </c>
      <c r="J91" s="2" t="n">
        <v>4</v>
      </c>
      <c r="K91" s="3" t="n">
        <v>155.17</v>
      </c>
      <c r="L91" s="3" t="n">
        <v>620.6799999999999</v>
      </c>
      <c r="M91" s="3" t="n">
        <v>385.73</v>
      </c>
      <c r="N91" s="3" t="n">
        <v>234.95</v>
      </c>
    </row>
    <row r="92">
      <c r="A92" t="inlineStr">
        <is>
          <t>SO-2512-10090</t>
        </is>
      </c>
      <c r="B92" s="1" t="n">
        <v>46018</v>
      </c>
      <c r="C92" t="inlineStr">
        <is>
          <t>Midwest</t>
        </is>
      </c>
      <c r="D92" t="inlineStr">
        <is>
          <t>OH</t>
        </is>
      </c>
      <c r="E92" t="inlineStr">
        <is>
          <t>Columbus</t>
        </is>
      </c>
      <c r="F92" t="inlineStr">
        <is>
          <t>Partner</t>
        </is>
      </c>
      <c r="G92" t="inlineStr">
        <is>
          <t>Corporate</t>
        </is>
      </c>
      <c r="H92" t="inlineStr">
        <is>
          <t>Technology</t>
        </is>
      </c>
      <c r="I92" t="inlineStr">
        <is>
          <t>Monitor</t>
        </is>
      </c>
      <c r="J92" s="2" t="n">
        <v>4</v>
      </c>
      <c r="K92" s="3" t="n">
        <v>194.84</v>
      </c>
      <c r="L92" s="3" t="n">
        <v>779.36</v>
      </c>
      <c r="M92" s="3" t="n">
        <v>468.51</v>
      </c>
      <c r="N92" s="3" t="n">
        <v>310.85</v>
      </c>
    </row>
    <row r="93">
      <c r="A93" t="inlineStr">
        <is>
          <t>SO-2510-10091</t>
        </is>
      </c>
      <c r="B93" s="1" t="n">
        <v>45959</v>
      </c>
      <c r="C93" t="inlineStr">
        <is>
          <t>Northeast</t>
        </is>
      </c>
      <c r="D93" t="inlineStr">
        <is>
          <t>NY</t>
        </is>
      </c>
      <c r="E93" t="inlineStr">
        <is>
          <t>New York</t>
        </is>
      </c>
      <c r="F93" t="inlineStr">
        <is>
          <t>Online</t>
        </is>
      </c>
      <c r="G93" t="inlineStr">
        <is>
          <t>Consumer</t>
        </is>
      </c>
      <c r="H93" t="inlineStr">
        <is>
          <t>Technology</t>
        </is>
      </c>
      <c r="I93" t="inlineStr">
        <is>
          <t>Monitor</t>
        </is>
      </c>
      <c r="J93" s="2" t="n">
        <v>1</v>
      </c>
      <c r="K93" s="3" t="n">
        <v>160.63</v>
      </c>
      <c r="L93" s="3" t="n">
        <v>160.63</v>
      </c>
      <c r="M93" s="3" t="n">
        <v>103.75</v>
      </c>
      <c r="N93" s="3" t="n">
        <v>56.88</v>
      </c>
    </row>
    <row r="94">
      <c r="A94" t="inlineStr">
        <is>
          <t>SO-2507-10092</t>
        </is>
      </c>
      <c r="B94" s="1" t="n">
        <v>45853</v>
      </c>
      <c r="C94" t="inlineStr">
        <is>
          <t>Midwest</t>
        </is>
      </c>
      <c r="D94" t="inlineStr">
        <is>
          <t>MN</t>
        </is>
      </c>
      <c r="E94" t="inlineStr">
        <is>
          <t>Minneapolis</t>
        </is>
      </c>
      <c r="F94" t="inlineStr">
        <is>
          <t>In-Store</t>
        </is>
      </c>
      <c r="G94" t="inlineStr">
        <is>
          <t>Consumer</t>
        </is>
      </c>
      <c r="H94" t="inlineStr">
        <is>
          <t>Furniture</t>
        </is>
      </c>
      <c r="I94" t="inlineStr">
        <is>
          <t>Bookshelf</t>
        </is>
      </c>
      <c r="J94" s="2" t="n">
        <v>3</v>
      </c>
      <c r="K94" s="3" t="n">
        <v>81.48999999999999</v>
      </c>
      <c r="L94" s="3" t="n">
        <v>244.47</v>
      </c>
      <c r="M94" s="3" t="n">
        <v>174.84</v>
      </c>
      <c r="N94" s="3" t="n">
        <v>69.63</v>
      </c>
    </row>
    <row r="95">
      <c r="A95" t="inlineStr">
        <is>
          <t>SO-2502-10093</t>
        </is>
      </c>
      <c r="B95" s="1" t="n">
        <v>45711</v>
      </c>
      <c r="C95" t="inlineStr">
        <is>
          <t>West</t>
        </is>
      </c>
      <c r="D95" t="inlineStr">
        <is>
          <t>CA</t>
        </is>
      </c>
      <c r="E95" t="inlineStr">
        <is>
          <t>Los Angeles</t>
        </is>
      </c>
      <c r="F95" t="inlineStr">
        <is>
          <t>In-Store</t>
        </is>
      </c>
      <c r="G95" t="inlineStr">
        <is>
          <t>Small Business</t>
        </is>
      </c>
      <c r="H95" t="inlineStr">
        <is>
          <t>Technology</t>
        </is>
      </c>
      <c r="I95" t="inlineStr">
        <is>
          <t>Keyboard</t>
        </is>
      </c>
      <c r="J95" s="2" t="n">
        <v>4</v>
      </c>
      <c r="K95" s="3" t="n">
        <v>41.66</v>
      </c>
      <c r="L95" s="3" t="n">
        <v>166.64</v>
      </c>
      <c r="M95" s="3" t="n">
        <v>104.89</v>
      </c>
      <c r="N95" s="3" t="n">
        <v>61.75</v>
      </c>
    </row>
    <row r="96">
      <c r="A96" t="inlineStr">
        <is>
          <t>SO-2501-10094</t>
        </is>
      </c>
      <c r="B96" s="1" t="n">
        <v>45664</v>
      </c>
      <c r="C96" t="inlineStr">
        <is>
          <t>Midwest</t>
        </is>
      </c>
      <c r="D96" t="inlineStr">
        <is>
          <t>MN</t>
        </is>
      </c>
      <c r="E96" t="inlineStr">
        <is>
          <t>Minneapolis</t>
        </is>
      </c>
      <c r="F96" t="inlineStr">
        <is>
          <t>Partner</t>
        </is>
      </c>
      <c r="G96" t="inlineStr">
        <is>
          <t>Consumer</t>
        </is>
      </c>
      <c r="H96" t="inlineStr">
        <is>
          <t>Office Supplies</t>
        </is>
      </c>
      <c r="I96" t="inlineStr">
        <is>
          <t>Binders</t>
        </is>
      </c>
      <c r="J96" s="2" t="n">
        <v>5</v>
      </c>
      <c r="K96" s="3" t="n">
        <v>10.73</v>
      </c>
      <c r="L96" s="3" t="n">
        <v>53.65</v>
      </c>
      <c r="M96" s="3" t="n">
        <v>36.62</v>
      </c>
      <c r="N96" s="3" t="n">
        <v>17.03</v>
      </c>
    </row>
    <row r="97">
      <c r="A97" t="inlineStr">
        <is>
          <t>SO-2508-10095</t>
        </is>
      </c>
      <c r="B97" s="1" t="n">
        <v>45883</v>
      </c>
      <c r="C97" t="inlineStr">
        <is>
          <t>West</t>
        </is>
      </c>
      <c r="D97" t="inlineStr">
        <is>
          <t>CO</t>
        </is>
      </c>
      <c r="E97" t="inlineStr">
        <is>
          <t>Denver</t>
        </is>
      </c>
      <c r="F97" t="inlineStr">
        <is>
          <t>In-Store</t>
        </is>
      </c>
      <c r="G97" t="inlineStr">
        <is>
          <t>Corporate</t>
        </is>
      </c>
      <c r="H97" t="inlineStr">
        <is>
          <t>Office Supplies</t>
        </is>
      </c>
      <c r="I97" t="inlineStr">
        <is>
          <t>Paper</t>
        </is>
      </c>
      <c r="J97" s="2" t="n">
        <v>2</v>
      </c>
      <c r="K97" s="3" t="n">
        <v>6.85</v>
      </c>
      <c r="L97" s="3" t="n">
        <v>13.7</v>
      </c>
      <c r="M97" s="3" t="n">
        <v>7.86</v>
      </c>
      <c r="N97" s="3" t="n">
        <v>5.84</v>
      </c>
    </row>
    <row r="98">
      <c r="A98" t="inlineStr">
        <is>
          <t>SO-2509-10096</t>
        </is>
      </c>
      <c r="B98" s="1" t="n">
        <v>45929</v>
      </c>
      <c r="C98" t="inlineStr">
        <is>
          <t>Northeast</t>
        </is>
      </c>
      <c r="D98" t="inlineStr">
        <is>
          <t>MA</t>
        </is>
      </c>
      <c r="E98" t="inlineStr">
        <is>
          <t>Boston</t>
        </is>
      </c>
      <c r="F98" t="inlineStr">
        <is>
          <t>In-Store</t>
        </is>
      </c>
      <c r="G98" t="inlineStr">
        <is>
          <t>Small Business</t>
        </is>
      </c>
      <c r="H98" t="inlineStr">
        <is>
          <t>Office Supplies</t>
        </is>
      </c>
      <c r="I98" t="inlineStr">
        <is>
          <t>Paper</t>
        </is>
      </c>
      <c r="J98" s="2" t="n">
        <v>2</v>
      </c>
      <c r="K98" s="3" t="n">
        <v>7.1</v>
      </c>
      <c r="L98" s="3" t="n">
        <v>14.2</v>
      </c>
      <c r="M98" s="3" t="n">
        <v>9.17</v>
      </c>
      <c r="N98" s="3" t="n">
        <v>5.03</v>
      </c>
    </row>
    <row r="99">
      <c r="A99" t="inlineStr">
        <is>
          <t>SO-2407-10097</t>
        </is>
      </c>
      <c r="B99" s="1" t="n">
        <v>45494</v>
      </c>
      <c r="C99" t="inlineStr">
        <is>
          <t>Northeast</t>
        </is>
      </c>
      <c r="D99" t="inlineStr">
        <is>
          <t>MA</t>
        </is>
      </c>
      <c r="E99" t="inlineStr">
        <is>
          <t>Boston</t>
        </is>
      </c>
      <c r="F99" t="inlineStr">
        <is>
          <t>In-Store</t>
        </is>
      </c>
      <c r="G99" t="inlineStr">
        <is>
          <t>Consumer</t>
        </is>
      </c>
      <c r="H99" t="inlineStr">
        <is>
          <t>Technology</t>
        </is>
      </c>
      <c r="I99" t="inlineStr">
        <is>
          <t>Monitor</t>
        </is>
      </c>
      <c r="J99" s="2" t="n">
        <v>1</v>
      </c>
      <c r="K99" s="3" t="n">
        <v>161.73</v>
      </c>
      <c r="L99" s="3" t="n">
        <v>161.73</v>
      </c>
      <c r="M99" s="3" t="n">
        <v>98.98999999999999</v>
      </c>
      <c r="N99" s="3" t="n">
        <v>62.74</v>
      </c>
    </row>
    <row r="100">
      <c r="A100" t="inlineStr">
        <is>
          <t>SO-2512-10098</t>
        </is>
      </c>
      <c r="B100" s="1" t="n">
        <v>45996</v>
      </c>
      <c r="C100" t="inlineStr">
        <is>
          <t>South</t>
        </is>
      </c>
      <c r="D100" t="inlineStr">
        <is>
          <t>TN</t>
        </is>
      </c>
      <c r="E100" t="inlineStr">
        <is>
          <t>Nashville</t>
        </is>
      </c>
      <c r="F100" t="inlineStr">
        <is>
          <t>Online</t>
        </is>
      </c>
      <c r="G100" t="inlineStr">
        <is>
          <t>Small Business</t>
        </is>
      </c>
      <c r="H100" t="inlineStr">
        <is>
          <t>Technology</t>
        </is>
      </c>
      <c r="I100" t="inlineStr">
        <is>
          <t>Mouse</t>
        </is>
      </c>
      <c r="J100" s="2" t="n">
        <v>4</v>
      </c>
      <c r="K100" s="3" t="n">
        <v>20.64</v>
      </c>
      <c r="L100" s="3" t="n">
        <v>82.56</v>
      </c>
      <c r="M100" s="3" t="n">
        <v>50.82</v>
      </c>
      <c r="N100" s="3" t="n">
        <v>31.74</v>
      </c>
    </row>
    <row r="101">
      <c r="A101" t="inlineStr">
        <is>
          <t>SO-2506-10099</t>
        </is>
      </c>
      <c r="B101" s="1" t="n">
        <v>45822</v>
      </c>
      <c r="C101" t="inlineStr">
        <is>
          <t>Northeast</t>
        </is>
      </c>
      <c r="D101" t="inlineStr">
        <is>
          <t>NJ</t>
        </is>
      </c>
      <c r="E101" t="inlineStr">
        <is>
          <t>Newark</t>
        </is>
      </c>
      <c r="F101" t="inlineStr">
        <is>
          <t>Online</t>
        </is>
      </c>
      <c r="G101" t="inlineStr">
        <is>
          <t>Corporate</t>
        </is>
      </c>
      <c r="H101" t="inlineStr">
        <is>
          <t>Furniture</t>
        </is>
      </c>
      <c r="I101" t="inlineStr">
        <is>
          <t>Standing Desk</t>
        </is>
      </c>
      <c r="J101" s="2" t="n">
        <v>5</v>
      </c>
      <c r="K101" s="3" t="n">
        <v>329.62</v>
      </c>
      <c r="L101" s="3" t="n">
        <v>1648.1</v>
      </c>
      <c r="M101" s="3" t="n">
        <v>1067.9</v>
      </c>
      <c r="N101" s="3" t="n">
        <v>580.2</v>
      </c>
    </row>
    <row r="102">
      <c r="A102" t="inlineStr">
        <is>
          <t>SO-2511-10100</t>
        </is>
      </c>
      <c r="B102" s="1" t="n">
        <v>45980</v>
      </c>
      <c r="C102" t="inlineStr">
        <is>
          <t>Midwest</t>
        </is>
      </c>
      <c r="D102" t="inlineStr">
        <is>
          <t>IL</t>
        </is>
      </c>
      <c r="E102" t="inlineStr">
        <is>
          <t>Chicago</t>
        </is>
      </c>
      <c r="F102" t="inlineStr">
        <is>
          <t>Online</t>
        </is>
      </c>
      <c r="G102" t="inlineStr">
        <is>
          <t>Small Business</t>
        </is>
      </c>
      <c r="H102" t="inlineStr">
        <is>
          <t>Office Supplies</t>
        </is>
      </c>
      <c r="I102" t="inlineStr">
        <is>
          <t>Pens</t>
        </is>
      </c>
      <c r="J102" s="2" t="n">
        <v>6</v>
      </c>
      <c r="K102" s="3" t="n">
        <v>5.12</v>
      </c>
      <c r="L102" s="3" t="n">
        <v>30.72</v>
      </c>
      <c r="M102" s="3" t="n">
        <v>20.65</v>
      </c>
      <c r="N102" s="3" t="n">
        <v>10.07</v>
      </c>
    </row>
    <row r="103">
      <c r="A103" t="inlineStr">
        <is>
          <t>SO-2508-10101</t>
        </is>
      </c>
      <c r="B103" s="1" t="n">
        <v>45888</v>
      </c>
      <c r="C103" t="inlineStr">
        <is>
          <t>Midwest</t>
        </is>
      </c>
      <c r="D103" t="inlineStr">
        <is>
          <t>IL</t>
        </is>
      </c>
      <c r="E103" t="inlineStr">
        <is>
          <t>Chicago</t>
        </is>
      </c>
      <c r="F103" t="inlineStr">
        <is>
          <t>Online</t>
        </is>
      </c>
      <c r="G103" t="inlineStr">
        <is>
          <t>Corporate</t>
        </is>
      </c>
      <c r="H103" t="inlineStr">
        <is>
          <t>Technology</t>
        </is>
      </c>
      <c r="I103" t="inlineStr">
        <is>
          <t>Laptop Stand</t>
        </is>
      </c>
      <c r="J103" s="2" t="n">
        <v>4</v>
      </c>
      <c r="K103" s="3" t="n">
        <v>30.44</v>
      </c>
      <c r="L103" s="3" t="n">
        <v>121.76</v>
      </c>
      <c r="M103" s="3" t="n">
        <v>79.77</v>
      </c>
      <c r="N103" s="3" t="n">
        <v>41.99</v>
      </c>
    </row>
    <row r="104">
      <c r="A104" t="inlineStr">
        <is>
          <t>SO-2504-10102</t>
        </is>
      </c>
      <c r="B104" s="1" t="n">
        <v>45749</v>
      </c>
      <c r="C104" t="inlineStr">
        <is>
          <t>West</t>
        </is>
      </c>
      <c r="D104" t="inlineStr">
        <is>
          <t>AZ</t>
        </is>
      </c>
      <c r="E104" t="inlineStr">
        <is>
          <t>Phoenix</t>
        </is>
      </c>
      <c r="F104" t="inlineStr">
        <is>
          <t>Partner</t>
        </is>
      </c>
      <c r="G104" t="inlineStr">
        <is>
          <t>Corporate</t>
        </is>
      </c>
      <c r="H104" t="inlineStr">
        <is>
          <t>Technology</t>
        </is>
      </c>
      <c r="I104" t="inlineStr">
        <is>
          <t>Laptop Stand</t>
        </is>
      </c>
      <c r="J104" s="2" t="n">
        <v>4</v>
      </c>
      <c r="K104" s="3" t="n">
        <v>27.1</v>
      </c>
      <c r="L104" s="3" t="n">
        <v>108.4</v>
      </c>
      <c r="M104" s="3" t="n">
        <v>84.28</v>
      </c>
      <c r="N104" s="3" t="n">
        <v>24.12</v>
      </c>
    </row>
    <row r="105">
      <c r="A105" t="inlineStr">
        <is>
          <t>SO-2505-10103</t>
        </is>
      </c>
      <c r="B105" s="1" t="n">
        <v>45808</v>
      </c>
      <c r="C105" t="inlineStr">
        <is>
          <t>Northeast</t>
        </is>
      </c>
      <c r="D105" t="inlineStr">
        <is>
          <t>NJ</t>
        </is>
      </c>
      <c r="E105" t="inlineStr">
        <is>
          <t>Newark</t>
        </is>
      </c>
      <c r="F105" t="inlineStr">
        <is>
          <t>Partner</t>
        </is>
      </c>
      <c r="G105" t="inlineStr">
        <is>
          <t>Small Business</t>
        </is>
      </c>
      <c r="H105" t="inlineStr">
        <is>
          <t>Technology</t>
        </is>
      </c>
      <c r="I105" t="inlineStr">
        <is>
          <t>Mouse</t>
        </is>
      </c>
      <c r="J105" s="2" t="n">
        <v>3</v>
      </c>
      <c r="K105" s="3" t="n">
        <v>17.39</v>
      </c>
      <c r="L105" s="3" t="n">
        <v>52.17</v>
      </c>
      <c r="M105" s="3" t="n">
        <v>34.73</v>
      </c>
      <c r="N105" s="3" t="n">
        <v>17.44</v>
      </c>
    </row>
    <row r="106">
      <c r="A106" t="inlineStr">
        <is>
          <t>SO-2402-10104</t>
        </is>
      </c>
      <c r="B106" s="1" t="n">
        <v>45347</v>
      </c>
      <c r="C106" t="inlineStr">
        <is>
          <t>South</t>
        </is>
      </c>
      <c r="D106" t="inlineStr">
        <is>
          <t>GA</t>
        </is>
      </c>
      <c r="E106" t="inlineStr">
        <is>
          <t>Atlanta</t>
        </is>
      </c>
      <c r="F106" t="inlineStr">
        <is>
          <t>Partner</t>
        </is>
      </c>
      <c r="G106" t="inlineStr">
        <is>
          <t>Corporate</t>
        </is>
      </c>
      <c r="H106" t="inlineStr">
        <is>
          <t>Furniture</t>
        </is>
      </c>
      <c r="I106" t="inlineStr">
        <is>
          <t>Standing Desk</t>
        </is>
      </c>
      <c r="J106" s="2" t="n">
        <v>4</v>
      </c>
      <c r="K106" s="3" t="n">
        <v>262.39</v>
      </c>
      <c r="L106" s="3" t="n">
        <v>1049.56</v>
      </c>
      <c r="M106" s="3" t="n">
        <v>700.01</v>
      </c>
      <c r="N106" s="3" t="n">
        <v>349.55</v>
      </c>
    </row>
    <row r="107">
      <c r="A107" t="inlineStr">
        <is>
          <t>SO-2406-10105</t>
        </is>
      </c>
      <c r="B107" s="1" t="n">
        <v>45461</v>
      </c>
      <c r="C107" t="inlineStr">
        <is>
          <t>Northeast</t>
        </is>
      </c>
      <c r="D107" t="inlineStr">
        <is>
          <t>NY</t>
        </is>
      </c>
      <c r="E107" t="inlineStr">
        <is>
          <t>New York</t>
        </is>
      </c>
      <c r="F107" t="inlineStr">
        <is>
          <t>Partner</t>
        </is>
      </c>
      <c r="G107" t="inlineStr">
        <is>
          <t>Small Business</t>
        </is>
      </c>
      <c r="H107" t="inlineStr">
        <is>
          <t>Office Supplies</t>
        </is>
      </c>
      <c r="I107" t="inlineStr">
        <is>
          <t>Paper</t>
        </is>
      </c>
      <c r="J107" s="2" t="n">
        <v>4</v>
      </c>
      <c r="K107" s="3" t="n">
        <v>6.35</v>
      </c>
      <c r="L107" s="3" t="n">
        <v>25.4</v>
      </c>
      <c r="M107" s="3" t="n">
        <v>17.71</v>
      </c>
      <c r="N107" s="3" t="n">
        <v>7.69</v>
      </c>
    </row>
    <row r="108">
      <c r="A108" t="inlineStr">
        <is>
          <t>SO-2405-10106</t>
        </is>
      </c>
      <c r="B108" s="1" t="n">
        <v>45439</v>
      </c>
      <c r="C108" t="inlineStr">
        <is>
          <t>Northeast</t>
        </is>
      </c>
      <c r="D108" t="inlineStr">
        <is>
          <t>NY</t>
        </is>
      </c>
      <c r="E108" t="inlineStr">
        <is>
          <t>New York</t>
        </is>
      </c>
      <c r="F108" t="inlineStr">
        <is>
          <t>In-Store</t>
        </is>
      </c>
      <c r="G108" t="inlineStr">
        <is>
          <t>Small Business</t>
        </is>
      </c>
      <c r="H108" t="inlineStr">
        <is>
          <t>Technology</t>
        </is>
      </c>
      <c r="I108" t="inlineStr">
        <is>
          <t>Monitor</t>
        </is>
      </c>
      <c r="J108" s="2" t="n">
        <v>3</v>
      </c>
      <c r="K108" s="3" t="n">
        <v>161.56</v>
      </c>
      <c r="L108" s="3" t="n">
        <v>484.68</v>
      </c>
      <c r="M108" s="3" t="n">
        <v>314.8</v>
      </c>
      <c r="N108" s="3" t="n">
        <v>169.88</v>
      </c>
    </row>
    <row r="109">
      <c r="A109" t="inlineStr">
        <is>
          <t>SO-2502-10107</t>
        </is>
      </c>
      <c r="B109" s="1" t="n">
        <v>45705</v>
      </c>
      <c r="C109" t="inlineStr">
        <is>
          <t>West</t>
        </is>
      </c>
      <c r="D109" t="inlineStr">
        <is>
          <t>WA</t>
        </is>
      </c>
      <c r="E109" t="inlineStr">
        <is>
          <t>Seattle</t>
        </is>
      </c>
      <c r="F109" t="inlineStr">
        <is>
          <t>Online</t>
        </is>
      </c>
      <c r="G109" t="inlineStr">
        <is>
          <t>Small Business</t>
        </is>
      </c>
      <c r="H109" t="inlineStr">
        <is>
          <t>Furniture</t>
        </is>
      </c>
      <c r="I109" t="inlineStr">
        <is>
          <t>Bookshelf</t>
        </is>
      </c>
      <c r="J109" s="2" t="n">
        <v>6</v>
      </c>
      <c r="K109" s="3" t="n">
        <v>93.12</v>
      </c>
      <c r="L109" s="3" t="n">
        <v>558.72</v>
      </c>
      <c r="M109" s="3" t="n">
        <v>342.95</v>
      </c>
      <c r="N109" s="3" t="n">
        <v>215.77</v>
      </c>
    </row>
    <row r="110">
      <c r="A110" t="inlineStr">
        <is>
          <t>SO-2501-10108</t>
        </is>
      </c>
      <c r="B110" s="1" t="n">
        <v>45660</v>
      </c>
      <c r="C110" t="inlineStr">
        <is>
          <t>Midwest</t>
        </is>
      </c>
      <c r="D110" t="inlineStr">
        <is>
          <t>MI</t>
        </is>
      </c>
      <c r="E110" t="inlineStr">
        <is>
          <t>Detroit</t>
        </is>
      </c>
      <c r="F110" t="inlineStr">
        <is>
          <t>In-Store</t>
        </is>
      </c>
      <c r="G110" t="inlineStr">
        <is>
          <t>Small Business</t>
        </is>
      </c>
      <c r="H110" t="inlineStr">
        <is>
          <t>Technology</t>
        </is>
      </c>
      <c r="I110" t="inlineStr">
        <is>
          <t>Keyboard</t>
        </is>
      </c>
      <c r="J110" s="2" t="n">
        <v>3</v>
      </c>
      <c r="K110" s="3" t="n">
        <v>43.49</v>
      </c>
      <c r="L110" s="3" t="n">
        <v>130.47</v>
      </c>
      <c r="M110" s="3" t="n">
        <v>96.31999999999999</v>
      </c>
      <c r="N110" s="3" t="n">
        <v>34.15</v>
      </c>
    </row>
    <row r="111">
      <c r="A111" t="inlineStr">
        <is>
          <t>SO-2405-10109</t>
        </is>
      </c>
      <c r="B111" s="1" t="n">
        <v>45441</v>
      </c>
      <c r="C111" t="inlineStr">
        <is>
          <t>South</t>
        </is>
      </c>
      <c r="D111" t="inlineStr">
        <is>
          <t>FL</t>
        </is>
      </c>
      <c r="E111" t="inlineStr">
        <is>
          <t>Miami</t>
        </is>
      </c>
      <c r="F111" t="inlineStr">
        <is>
          <t>In-Store</t>
        </is>
      </c>
      <c r="G111" t="inlineStr">
        <is>
          <t>Corporate</t>
        </is>
      </c>
      <c r="H111" t="inlineStr">
        <is>
          <t>Furniture</t>
        </is>
      </c>
      <c r="I111" t="inlineStr">
        <is>
          <t>Filing Cabinet</t>
        </is>
      </c>
      <c r="J111" s="2" t="n">
        <v>6</v>
      </c>
      <c r="K111" s="3" t="n">
        <v>171.41</v>
      </c>
      <c r="L111" s="3" t="n">
        <v>1028.46</v>
      </c>
      <c r="M111" s="3" t="n">
        <v>661.01</v>
      </c>
      <c r="N111" s="3" t="n">
        <v>367.45</v>
      </c>
    </row>
    <row r="112">
      <c r="A112" t="inlineStr">
        <is>
          <t>SO-2411-10110</t>
        </is>
      </c>
      <c r="B112" s="1" t="n">
        <v>45609</v>
      </c>
      <c r="C112" t="inlineStr">
        <is>
          <t>South</t>
        </is>
      </c>
      <c r="D112" t="inlineStr">
        <is>
          <t>TN</t>
        </is>
      </c>
      <c r="E112" t="inlineStr">
        <is>
          <t>Nashville</t>
        </is>
      </c>
      <c r="F112" t="inlineStr">
        <is>
          <t>Partner</t>
        </is>
      </c>
      <c r="G112" t="inlineStr">
        <is>
          <t>Small Business</t>
        </is>
      </c>
      <c r="H112" t="inlineStr">
        <is>
          <t>Office Supplies</t>
        </is>
      </c>
      <c r="I112" t="inlineStr">
        <is>
          <t>Pens</t>
        </is>
      </c>
      <c r="J112" s="2" t="n">
        <v>2</v>
      </c>
      <c r="K112" s="3" t="n">
        <v>4.65</v>
      </c>
      <c r="L112" s="3" t="n">
        <v>9.300000000000001</v>
      </c>
      <c r="M112" s="3" t="n">
        <v>6.45</v>
      </c>
      <c r="N112" s="3" t="n">
        <v>2.85</v>
      </c>
    </row>
    <row r="113">
      <c r="A113" t="inlineStr">
        <is>
          <t>SO-2501-10111</t>
        </is>
      </c>
      <c r="B113" s="1" t="n">
        <v>45664</v>
      </c>
      <c r="C113" t="inlineStr">
        <is>
          <t>Midwest</t>
        </is>
      </c>
      <c r="D113" t="inlineStr">
        <is>
          <t>IL</t>
        </is>
      </c>
      <c r="E113" t="inlineStr">
        <is>
          <t>Chicago</t>
        </is>
      </c>
      <c r="F113" t="inlineStr">
        <is>
          <t>Online</t>
        </is>
      </c>
      <c r="G113" t="inlineStr">
        <is>
          <t>Consumer</t>
        </is>
      </c>
      <c r="H113" t="inlineStr">
        <is>
          <t>Furniture</t>
        </is>
      </c>
      <c r="I113" t="inlineStr">
        <is>
          <t>Desk Chair</t>
        </is>
      </c>
      <c r="J113" s="2" t="n">
        <v>5</v>
      </c>
      <c r="K113" s="3" t="n">
        <v>119.13</v>
      </c>
      <c r="L113" s="3" t="n">
        <v>595.65</v>
      </c>
      <c r="M113" s="3" t="n">
        <v>387.77</v>
      </c>
      <c r="N113" s="3" t="n">
        <v>207.88</v>
      </c>
    </row>
    <row r="114">
      <c r="A114" t="inlineStr">
        <is>
          <t>SO-2412-10112</t>
        </is>
      </c>
      <c r="B114" s="1" t="n">
        <v>45657</v>
      </c>
      <c r="C114" t="inlineStr">
        <is>
          <t>West</t>
        </is>
      </c>
      <c r="D114" t="inlineStr">
        <is>
          <t>WA</t>
        </is>
      </c>
      <c r="E114" t="inlineStr">
        <is>
          <t>Seattle</t>
        </is>
      </c>
      <c r="F114" t="inlineStr">
        <is>
          <t>Partner</t>
        </is>
      </c>
      <c r="G114" t="inlineStr">
        <is>
          <t>Consumer</t>
        </is>
      </c>
      <c r="H114" t="inlineStr">
        <is>
          <t>Furniture</t>
        </is>
      </c>
      <c r="I114" t="inlineStr">
        <is>
          <t>Desk Chair</t>
        </is>
      </c>
      <c r="J114" s="2" t="n">
        <v>3</v>
      </c>
      <c r="K114" s="3" t="n">
        <v>111.36</v>
      </c>
      <c r="L114" s="3" t="n">
        <v>334.08</v>
      </c>
      <c r="M114" s="3" t="n">
        <v>199.81</v>
      </c>
      <c r="N114" s="3" t="n">
        <v>134.27</v>
      </c>
    </row>
    <row r="115">
      <c r="A115" t="inlineStr">
        <is>
          <t>SO-2409-10113</t>
        </is>
      </c>
      <c r="B115" s="1" t="n">
        <v>45541</v>
      </c>
      <c r="C115" t="inlineStr">
        <is>
          <t>West</t>
        </is>
      </c>
      <c r="D115" t="inlineStr">
        <is>
          <t>AZ</t>
        </is>
      </c>
      <c r="E115" t="inlineStr">
        <is>
          <t>Phoenix</t>
        </is>
      </c>
      <c r="F115" t="inlineStr">
        <is>
          <t>Partner</t>
        </is>
      </c>
      <c r="G115" t="inlineStr">
        <is>
          <t>Consumer</t>
        </is>
      </c>
      <c r="H115" t="inlineStr">
        <is>
          <t>Furniture</t>
        </is>
      </c>
      <c r="I115" t="inlineStr">
        <is>
          <t>Standing Desk</t>
        </is>
      </c>
      <c r="J115" s="2" t="n">
        <v>2</v>
      </c>
      <c r="K115" s="3" t="n">
        <v>273.37</v>
      </c>
      <c r="L115" s="3" t="n">
        <v>546.74</v>
      </c>
      <c r="M115" s="3" t="n">
        <v>329.63</v>
      </c>
      <c r="N115" s="3" t="n">
        <v>217.11</v>
      </c>
    </row>
    <row r="116">
      <c r="A116" t="inlineStr">
        <is>
          <t>SO-2401-10114</t>
        </is>
      </c>
      <c r="B116" s="1" t="n">
        <v>45303</v>
      </c>
      <c r="C116" t="inlineStr">
        <is>
          <t>West</t>
        </is>
      </c>
      <c r="D116" t="inlineStr">
        <is>
          <t>CA</t>
        </is>
      </c>
      <c r="E116" t="inlineStr">
        <is>
          <t>Los Angeles</t>
        </is>
      </c>
      <c r="F116" t="inlineStr">
        <is>
          <t>Online</t>
        </is>
      </c>
      <c r="G116" t="inlineStr">
        <is>
          <t>Small Business</t>
        </is>
      </c>
      <c r="H116" t="inlineStr">
        <is>
          <t>Office Supplies</t>
        </is>
      </c>
      <c r="I116" t="inlineStr">
        <is>
          <t>Pens</t>
        </is>
      </c>
      <c r="J116" s="2" t="n">
        <v>5</v>
      </c>
      <c r="K116" s="3" t="n">
        <v>4.99</v>
      </c>
      <c r="L116" s="3" t="n">
        <v>24.95</v>
      </c>
      <c r="M116" s="3" t="n">
        <v>16.65</v>
      </c>
      <c r="N116" s="3" t="n">
        <v>8.300000000000001</v>
      </c>
    </row>
    <row r="117">
      <c r="A117" t="inlineStr">
        <is>
          <t>SO-2502-10115</t>
        </is>
      </c>
      <c r="B117" s="1" t="n">
        <v>45707</v>
      </c>
      <c r="C117" t="inlineStr">
        <is>
          <t>Midwest</t>
        </is>
      </c>
      <c r="D117" t="inlineStr">
        <is>
          <t>MN</t>
        </is>
      </c>
      <c r="E117" t="inlineStr">
        <is>
          <t>Minneapolis</t>
        </is>
      </c>
      <c r="F117" t="inlineStr">
        <is>
          <t>Online</t>
        </is>
      </c>
      <c r="G117" t="inlineStr">
        <is>
          <t>Consumer</t>
        </is>
      </c>
      <c r="H117" t="inlineStr">
        <is>
          <t>Furniture</t>
        </is>
      </c>
      <c r="I117" t="inlineStr">
        <is>
          <t>Filing Cabinet</t>
        </is>
      </c>
      <c r="J117" s="2" t="n">
        <v>5</v>
      </c>
      <c r="K117" s="3" t="n">
        <v>147.92</v>
      </c>
      <c r="L117" s="3" t="n">
        <v>739.6</v>
      </c>
      <c r="M117" s="3" t="n">
        <v>495.8</v>
      </c>
      <c r="N117" s="3" t="n">
        <v>243.8</v>
      </c>
    </row>
    <row r="118">
      <c r="A118" t="inlineStr">
        <is>
          <t>SO-2506-10116</t>
        </is>
      </c>
      <c r="B118" s="1" t="n">
        <v>45822</v>
      </c>
      <c r="C118" t="inlineStr">
        <is>
          <t>Northeast</t>
        </is>
      </c>
      <c r="D118" t="inlineStr">
        <is>
          <t>NY</t>
        </is>
      </c>
      <c r="E118" t="inlineStr">
        <is>
          <t>New York</t>
        </is>
      </c>
      <c r="F118" t="inlineStr">
        <is>
          <t>Partner</t>
        </is>
      </c>
      <c r="G118" t="inlineStr">
        <is>
          <t>Small Business</t>
        </is>
      </c>
      <c r="H118" t="inlineStr">
        <is>
          <t>Office Supplies</t>
        </is>
      </c>
      <c r="I118" t="inlineStr">
        <is>
          <t>Paper</t>
        </is>
      </c>
      <c r="J118" s="2" t="n">
        <v>2</v>
      </c>
      <c r="K118" s="3" t="n">
        <v>7.23</v>
      </c>
      <c r="L118" s="3" t="n">
        <v>14.46</v>
      </c>
      <c r="M118" s="3" t="n">
        <v>9.380000000000001</v>
      </c>
      <c r="N118" s="3" t="n">
        <v>5.08</v>
      </c>
    </row>
    <row r="119">
      <c r="A119" t="inlineStr">
        <is>
          <t>SO-2505-10117</t>
        </is>
      </c>
      <c r="B119" s="1" t="n">
        <v>45781</v>
      </c>
      <c r="C119" t="inlineStr">
        <is>
          <t>West</t>
        </is>
      </c>
      <c r="D119" t="inlineStr">
        <is>
          <t>WA</t>
        </is>
      </c>
      <c r="E119" t="inlineStr">
        <is>
          <t>Seattle</t>
        </is>
      </c>
      <c r="F119" t="inlineStr">
        <is>
          <t>Partner</t>
        </is>
      </c>
      <c r="G119" t="inlineStr">
        <is>
          <t>Small Business</t>
        </is>
      </c>
      <c r="H119" t="inlineStr">
        <is>
          <t>Furniture</t>
        </is>
      </c>
      <c r="I119" t="inlineStr">
        <is>
          <t>Bookshelf</t>
        </is>
      </c>
      <c r="J119" s="2" t="n">
        <v>1</v>
      </c>
      <c r="K119" s="3" t="n">
        <v>78.20999999999999</v>
      </c>
      <c r="L119" s="3" t="n">
        <v>78.20999999999999</v>
      </c>
      <c r="M119" s="3" t="n">
        <v>54.99</v>
      </c>
      <c r="N119" s="3" t="n">
        <v>23.22</v>
      </c>
    </row>
    <row r="120">
      <c r="A120" t="inlineStr">
        <is>
          <t>SO-2409-10118</t>
        </is>
      </c>
      <c r="B120" s="1" t="n">
        <v>45559</v>
      </c>
      <c r="C120" t="inlineStr">
        <is>
          <t>South</t>
        </is>
      </c>
      <c r="D120" t="inlineStr">
        <is>
          <t>TN</t>
        </is>
      </c>
      <c r="E120" t="inlineStr">
        <is>
          <t>Nashville</t>
        </is>
      </c>
      <c r="F120" t="inlineStr">
        <is>
          <t>Online</t>
        </is>
      </c>
      <c r="G120" t="inlineStr">
        <is>
          <t>Small Business</t>
        </is>
      </c>
      <c r="H120" t="inlineStr">
        <is>
          <t>Technology</t>
        </is>
      </c>
      <c r="I120" t="inlineStr">
        <is>
          <t>Laptop Stand</t>
        </is>
      </c>
      <c r="J120" s="2" t="n">
        <v>4</v>
      </c>
      <c r="K120" s="3" t="n">
        <v>26.22</v>
      </c>
      <c r="L120" s="3" t="n">
        <v>104.88</v>
      </c>
      <c r="M120" s="3" t="n">
        <v>66.23999999999999</v>
      </c>
      <c r="N120" s="3" t="n">
        <v>38.64</v>
      </c>
    </row>
    <row r="121">
      <c r="A121" t="inlineStr">
        <is>
          <t>SO-2506-10119</t>
        </is>
      </c>
      <c r="B121" s="1" t="n">
        <v>45827</v>
      </c>
      <c r="C121" t="inlineStr">
        <is>
          <t>South</t>
        </is>
      </c>
      <c r="D121" t="inlineStr">
        <is>
          <t>GA</t>
        </is>
      </c>
      <c r="E121" t="inlineStr">
        <is>
          <t>Atlanta</t>
        </is>
      </c>
      <c r="F121" t="inlineStr">
        <is>
          <t>In-Store</t>
        </is>
      </c>
      <c r="G121" t="inlineStr">
        <is>
          <t>Corporate</t>
        </is>
      </c>
      <c r="H121" t="inlineStr">
        <is>
          <t>Technology</t>
        </is>
      </c>
      <c r="I121" t="inlineStr">
        <is>
          <t>Monitor</t>
        </is>
      </c>
      <c r="J121" s="2" t="n">
        <v>1</v>
      </c>
      <c r="K121" s="3" t="n">
        <v>191.42</v>
      </c>
      <c r="L121" s="3" t="n">
        <v>191.42</v>
      </c>
      <c r="M121" s="3" t="n">
        <v>133.93</v>
      </c>
      <c r="N121" s="3" t="n">
        <v>57.49</v>
      </c>
    </row>
    <row r="122">
      <c r="A122" t="inlineStr">
        <is>
          <t>SO-2406-10120</t>
        </is>
      </c>
      <c r="B122" s="1" t="n">
        <v>45455</v>
      </c>
      <c r="C122" t="inlineStr">
        <is>
          <t>Northeast</t>
        </is>
      </c>
      <c r="D122" t="inlineStr">
        <is>
          <t>NY</t>
        </is>
      </c>
      <c r="E122" t="inlineStr">
        <is>
          <t>New York</t>
        </is>
      </c>
      <c r="F122" t="inlineStr">
        <is>
          <t>Partner</t>
        </is>
      </c>
      <c r="G122" t="inlineStr">
        <is>
          <t>Corporate</t>
        </is>
      </c>
      <c r="H122" t="inlineStr">
        <is>
          <t>Furniture</t>
        </is>
      </c>
      <c r="I122" t="inlineStr">
        <is>
          <t>Desk Chair</t>
        </is>
      </c>
      <c r="J122" s="2" t="n">
        <v>1</v>
      </c>
      <c r="K122" s="3" t="n">
        <v>117.11</v>
      </c>
      <c r="L122" s="3" t="n">
        <v>117.11</v>
      </c>
      <c r="M122" s="3" t="n">
        <v>71.95999999999999</v>
      </c>
      <c r="N122" s="3" t="n">
        <v>45.15</v>
      </c>
    </row>
    <row r="123">
      <c r="A123" t="inlineStr">
        <is>
          <t>SO-2507-10121</t>
        </is>
      </c>
      <c r="B123" s="1" t="n">
        <v>45841</v>
      </c>
      <c r="C123" t="inlineStr">
        <is>
          <t>Northeast</t>
        </is>
      </c>
      <c r="D123" t="inlineStr">
        <is>
          <t>NJ</t>
        </is>
      </c>
      <c r="E123" t="inlineStr">
        <is>
          <t>Newark</t>
        </is>
      </c>
      <c r="F123" t="inlineStr">
        <is>
          <t>In-Store</t>
        </is>
      </c>
      <c r="G123" t="inlineStr">
        <is>
          <t>Corporate</t>
        </is>
      </c>
      <c r="H123" t="inlineStr">
        <is>
          <t>Technology</t>
        </is>
      </c>
      <c r="I123" t="inlineStr">
        <is>
          <t>Keyboard</t>
        </is>
      </c>
      <c r="J123" s="2" t="n">
        <v>3</v>
      </c>
      <c r="K123" s="3" t="n">
        <v>38.54</v>
      </c>
      <c r="L123" s="3" t="n">
        <v>115.62</v>
      </c>
      <c r="M123" s="3" t="n">
        <v>88.55</v>
      </c>
      <c r="N123" s="3" t="n">
        <v>27.07</v>
      </c>
    </row>
    <row r="124">
      <c r="A124" t="inlineStr">
        <is>
          <t>SO-2403-10122</t>
        </is>
      </c>
      <c r="B124" s="1" t="n">
        <v>45371</v>
      </c>
      <c r="C124" t="inlineStr">
        <is>
          <t>South</t>
        </is>
      </c>
      <c r="D124" t="inlineStr">
        <is>
          <t>GA</t>
        </is>
      </c>
      <c r="E124" t="inlineStr">
        <is>
          <t>Atlanta</t>
        </is>
      </c>
      <c r="F124" t="inlineStr">
        <is>
          <t>Partner</t>
        </is>
      </c>
      <c r="G124" t="inlineStr">
        <is>
          <t>Consumer</t>
        </is>
      </c>
      <c r="H124" t="inlineStr">
        <is>
          <t>Technology</t>
        </is>
      </c>
      <c r="I124" t="inlineStr">
        <is>
          <t>Keyboard</t>
        </is>
      </c>
      <c r="J124" s="2" t="n">
        <v>4</v>
      </c>
      <c r="K124" s="3" t="n">
        <v>40.83</v>
      </c>
      <c r="L124" s="3" t="n">
        <v>163.32</v>
      </c>
      <c r="M124" s="3" t="n">
        <v>104.22</v>
      </c>
      <c r="N124" s="3" t="n">
        <v>59.1</v>
      </c>
    </row>
    <row r="125">
      <c r="A125" t="inlineStr">
        <is>
          <t>SO-2401-10123</t>
        </is>
      </c>
      <c r="B125" s="1" t="n">
        <v>45321</v>
      </c>
      <c r="C125" t="inlineStr">
        <is>
          <t>Northeast</t>
        </is>
      </c>
      <c r="D125" t="inlineStr">
        <is>
          <t>NY</t>
        </is>
      </c>
      <c r="E125" t="inlineStr">
        <is>
          <t>New York</t>
        </is>
      </c>
      <c r="F125" t="inlineStr">
        <is>
          <t>Online</t>
        </is>
      </c>
      <c r="G125" t="inlineStr">
        <is>
          <t>Consumer</t>
        </is>
      </c>
      <c r="H125" t="inlineStr">
        <is>
          <t>Office Supplies</t>
        </is>
      </c>
      <c r="I125" t="inlineStr">
        <is>
          <t>Paper</t>
        </is>
      </c>
      <c r="J125" s="2" t="n">
        <v>4</v>
      </c>
      <c r="K125" s="3" t="n">
        <v>6.17</v>
      </c>
      <c r="L125" s="3" t="n">
        <v>24.68</v>
      </c>
      <c r="M125" s="3" t="n">
        <v>17.01</v>
      </c>
      <c r="N125" s="3" t="n">
        <v>7.67</v>
      </c>
    </row>
    <row r="126">
      <c r="A126" t="inlineStr">
        <is>
          <t>SO-2506-10124</t>
        </is>
      </c>
      <c r="B126" s="1" t="n">
        <v>45838</v>
      </c>
      <c r="C126" t="inlineStr">
        <is>
          <t>Northeast</t>
        </is>
      </c>
      <c r="D126" t="inlineStr">
        <is>
          <t>NY</t>
        </is>
      </c>
      <c r="E126" t="inlineStr">
        <is>
          <t>New York</t>
        </is>
      </c>
      <c r="F126" t="inlineStr">
        <is>
          <t>Partner</t>
        </is>
      </c>
      <c r="G126" t="inlineStr">
        <is>
          <t>Consumer</t>
        </is>
      </c>
      <c r="H126" t="inlineStr">
        <is>
          <t>Furniture</t>
        </is>
      </c>
      <c r="I126" t="inlineStr">
        <is>
          <t>Desk Chair</t>
        </is>
      </c>
      <c r="J126" s="2" t="n">
        <v>3</v>
      </c>
      <c r="K126" s="3" t="n">
        <v>139.22</v>
      </c>
      <c r="L126" s="3" t="n">
        <v>417.66</v>
      </c>
      <c r="M126" s="3" t="n">
        <v>268.05</v>
      </c>
      <c r="N126" s="3" t="n">
        <v>149.61</v>
      </c>
    </row>
    <row r="127">
      <c r="A127" t="inlineStr">
        <is>
          <t>SO-2510-10125</t>
        </is>
      </c>
      <c r="B127" s="1" t="n">
        <v>45941</v>
      </c>
      <c r="C127" t="inlineStr">
        <is>
          <t>West</t>
        </is>
      </c>
      <c r="D127" t="inlineStr">
        <is>
          <t>CA</t>
        </is>
      </c>
      <c r="E127" t="inlineStr">
        <is>
          <t>Los Angeles</t>
        </is>
      </c>
      <c r="F127" t="inlineStr">
        <is>
          <t>Online</t>
        </is>
      </c>
      <c r="G127" t="inlineStr">
        <is>
          <t>Small Business</t>
        </is>
      </c>
      <c r="H127" t="inlineStr">
        <is>
          <t>Office Supplies</t>
        </is>
      </c>
      <c r="I127" t="inlineStr">
        <is>
          <t>Pens</t>
        </is>
      </c>
      <c r="J127" s="2" t="n">
        <v>4</v>
      </c>
      <c r="K127" s="3" t="n">
        <v>4.09</v>
      </c>
      <c r="L127" s="3" t="n">
        <v>16.36</v>
      </c>
      <c r="M127" s="3" t="n">
        <v>9.08</v>
      </c>
      <c r="N127" s="3" t="n">
        <v>7.28</v>
      </c>
    </row>
    <row r="128">
      <c r="A128" t="inlineStr">
        <is>
          <t>SO-2503-10126</t>
        </is>
      </c>
      <c r="B128" s="1" t="n">
        <v>45725</v>
      </c>
      <c r="C128" t="inlineStr">
        <is>
          <t>Midwest</t>
        </is>
      </c>
      <c r="D128" t="inlineStr">
        <is>
          <t>MN</t>
        </is>
      </c>
      <c r="E128" t="inlineStr">
        <is>
          <t>Minneapolis</t>
        </is>
      </c>
      <c r="F128" t="inlineStr">
        <is>
          <t>In-Store</t>
        </is>
      </c>
      <c r="G128" t="inlineStr">
        <is>
          <t>Consumer</t>
        </is>
      </c>
      <c r="H128" t="inlineStr">
        <is>
          <t>Office Supplies</t>
        </is>
      </c>
      <c r="I128" t="inlineStr">
        <is>
          <t>Pens</t>
        </is>
      </c>
      <c r="J128" s="2" t="n">
        <v>1</v>
      </c>
      <c r="K128" s="3" t="n">
        <v>3.95</v>
      </c>
      <c r="L128" s="3" t="n">
        <v>3.95</v>
      </c>
      <c r="M128" s="3" t="n">
        <v>2.62</v>
      </c>
      <c r="N128" s="3" t="n">
        <v>1.33</v>
      </c>
    </row>
    <row r="129">
      <c r="A129" t="inlineStr">
        <is>
          <t>SO-2505-10127</t>
        </is>
      </c>
      <c r="B129" s="1" t="n">
        <v>45807</v>
      </c>
      <c r="C129" t="inlineStr">
        <is>
          <t>Midwest</t>
        </is>
      </c>
      <c r="D129" t="inlineStr">
        <is>
          <t>MI</t>
        </is>
      </c>
      <c r="E129" t="inlineStr">
        <is>
          <t>Detroit</t>
        </is>
      </c>
      <c r="F129" t="inlineStr">
        <is>
          <t>In-Store</t>
        </is>
      </c>
      <c r="G129" t="inlineStr">
        <is>
          <t>Corporate</t>
        </is>
      </c>
      <c r="H129" t="inlineStr">
        <is>
          <t>Technology</t>
        </is>
      </c>
      <c r="I129" t="inlineStr">
        <is>
          <t>Mouse</t>
        </is>
      </c>
      <c r="J129" s="2" t="n">
        <v>2</v>
      </c>
      <c r="K129" s="3" t="n">
        <v>21.28</v>
      </c>
      <c r="L129" s="3" t="n">
        <v>42.56</v>
      </c>
      <c r="M129" s="3" t="n">
        <v>27.99</v>
      </c>
      <c r="N129" s="3" t="n">
        <v>14.57</v>
      </c>
    </row>
    <row r="130">
      <c r="A130" t="inlineStr">
        <is>
          <t>SO-2508-10128</t>
        </is>
      </c>
      <c r="B130" s="1" t="n">
        <v>45871</v>
      </c>
      <c r="C130" t="inlineStr">
        <is>
          <t>South</t>
        </is>
      </c>
      <c r="D130" t="inlineStr">
        <is>
          <t>TN</t>
        </is>
      </c>
      <c r="E130" t="inlineStr">
        <is>
          <t>Nashville</t>
        </is>
      </c>
      <c r="F130" t="inlineStr">
        <is>
          <t>Online</t>
        </is>
      </c>
      <c r="G130" t="inlineStr">
        <is>
          <t>Small Business</t>
        </is>
      </c>
      <c r="H130" t="inlineStr">
        <is>
          <t>Office Supplies</t>
        </is>
      </c>
      <c r="I130" t="inlineStr">
        <is>
          <t>Stapler</t>
        </is>
      </c>
      <c r="J130" s="2" t="n">
        <v>2</v>
      </c>
      <c r="K130" s="3" t="n">
        <v>13.06</v>
      </c>
      <c r="L130" s="3" t="n">
        <v>26.12</v>
      </c>
      <c r="M130" s="3" t="n">
        <v>14.75</v>
      </c>
      <c r="N130" s="3" t="n">
        <v>11.37</v>
      </c>
    </row>
    <row r="131">
      <c r="A131" t="inlineStr">
        <is>
          <t>SO-2401-10129</t>
        </is>
      </c>
      <c r="B131" s="1" t="n">
        <v>45296</v>
      </c>
      <c r="C131" t="inlineStr">
        <is>
          <t>South</t>
        </is>
      </c>
      <c r="D131" t="inlineStr">
        <is>
          <t>FL</t>
        </is>
      </c>
      <c r="E131" t="inlineStr">
        <is>
          <t>Miami</t>
        </is>
      </c>
      <c r="F131" t="inlineStr">
        <is>
          <t>In-Store</t>
        </is>
      </c>
      <c r="G131" t="inlineStr">
        <is>
          <t>Corporate</t>
        </is>
      </c>
      <c r="H131" t="inlineStr">
        <is>
          <t>Office Supplies</t>
        </is>
      </c>
      <c r="I131" t="inlineStr">
        <is>
          <t>Stapler</t>
        </is>
      </c>
      <c r="J131" s="2" t="n">
        <v>6</v>
      </c>
      <c r="K131" s="3" t="n">
        <v>11.05</v>
      </c>
      <c r="L131" s="3" t="n">
        <v>66.3</v>
      </c>
      <c r="M131" s="3" t="n">
        <v>38.47</v>
      </c>
      <c r="N131" s="3" t="n">
        <v>27.83</v>
      </c>
    </row>
    <row r="132">
      <c r="A132" t="inlineStr">
        <is>
          <t>SO-2508-10130</t>
        </is>
      </c>
      <c r="B132" s="1" t="n">
        <v>45883</v>
      </c>
      <c r="C132" t="inlineStr">
        <is>
          <t>South</t>
        </is>
      </c>
      <c r="D132" t="inlineStr">
        <is>
          <t>TN</t>
        </is>
      </c>
      <c r="E132" t="inlineStr">
        <is>
          <t>Nashville</t>
        </is>
      </c>
      <c r="F132" t="inlineStr">
        <is>
          <t>Online</t>
        </is>
      </c>
      <c r="G132" t="inlineStr">
        <is>
          <t>Corporate</t>
        </is>
      </c>
      <c r="H132" t="inlineStr">
        <is>
          <t>Furniture</t>
        </is>
      </c>
      <c r="I132" t="inlineStr">
        <is>
          <t>Standing Desk</t>
        </is>
      </c>
      <c r="J132" s="2" t="n">
        <v>1</v>
      </c>
      <c r="K132" s="3" t="n">
        <v>342.03</v>
      </c>
      <c r="L132" s="3" t="n">
        <v>342.03</v>
      </c>
      <c r="M132" s="3" t="n">
        <v>228.33</v>
      </c>
      <c r="N132" s="3" t="n">
        <v>113.7</v>
      </c>
    </row>
    <row r="133">
      <c r="A133" t="inlineStr">
        <is>
          <t>SO-2512-10131</t>
        </is>
      </c>
      <c r="B133" s="1" t="n">
        <v>46005</v>
      </c>
      <c r="C133" t="inlineStr">
        <is>
          <t>Northeast</t>
        </is>
      </c>
      <c r="D133" t="inlineStr">
        <is>
          <t>MA</t>
        </is>
      </c>
      <c r="E133" t="inlineStr">
        <is>
          <t>Boston</t>
        </is>
      </c>
      <c r="F133" t="inlineStr">
        <is>
          <t>Partner</t>
        </is>
      </c>
      <c r="G133" t="inlineStr">
        <is>
          <t>Consumer</t>
        </is>
      </c>
      <c r="H133" t="inlineStr">
        <is>
          <t>Technology</t>
        </is>
      </c>
      <c r="I133" t="inlineStr">
        <is>
          <t>Keyboard</t>
        </is>
      </c>
      <c r="J133" s="2" t="n">
        <v>2</v>
      </c>
      <c r="K133" s="3" t="n">
        <v>35.31</v>
      </c>
      <c r="L133" s="3" t="n">
        <v>70.62</v>
      </c>
      <c r="M133" s="3" t="n">
        <v>43.4</v>
      </c>
      <c r="N133" s="3" t="n">
        <v>27.22</v>
      </c>
    </row>
    <row r="134">
      <c r="A134" t="inlineStr">
        <is>
          <t>SO-2510-10132</t>
        </is>
      </c>
      <c r="B134" s="1" t="n">
        <v>45953</v>
      </c>
      <c r="C134" t="inlineStr">
        <is>
          <t>Midwest</t>
        </is>
      </c>
      <c r="D134" t="inlineStr">
        <is>
          <t>MI</t>
        </is>
      </c>
      <c r="E134" t="inlineStr">
        <is>
          <t>Detroit</t>
        </is>
      </c>
      <c r="F134" t="inlineStr">
        <is>
          <t>Online</t>
        </is>
      </c>
      <c r="G134" t="inlineStr">
        <is>
          <t>Corporate</t>
        </is>
      </c>
      <c r="H134" t="inlineStr">
        <is>
          <t>Office Supplies</t>
        </is>
      </c>
      <c r="I134" t="inlineStr">
        <is>
          <t>Stapler</t>
        </is>
      </c>
      <c r="J134" s="2" t="n">
        <v>8</v>
      </c>
      <c r="K134" s="3" t="n">
        <v>14.66</v>
      </c>
      <c r="L134" s="3" t="n">
        <v>117.28</v>
      </c>
      <c r="M134" s="3" t="n">
        <v>80.19</v>
      </c>
      <c r="N134" s="3" t="n">
        <v>37.09</v>
      </c>
    </row>
    <row r="135">
      <c r="A135" t="inlineStr">
        <is>
          <t>SO-2408-10133</t>
        </is>
      </c>
      <c r="B135" s="1" t="n">
        <v>45531</v>
      </c>
      <c r="C135" t="inlineStr">
        <is>
          <t>Northeast</t>
        </is>
      </c>
      <c r="D135" t="inlineStr">
        <is>
          <t>PA</t>
        </is>
      </c>
      <c r="E135" t="inlineStr">
        <is>
          <t>Philadelphia</t>
        </is>
      </c>
      <c r="F135" t="inlineStr">
        <is>
          <t>In-Store</t>
        </is>
      </c>
      <c r="G135" t="inlineStr">
        <is>
          <t>Consumer</t>
        </is>
      </c>
      <c r="H135" t="inlineStr">
        <is>
          <t>Technology</t>
        </is>
      </c>
      <c r="I135" t="inlineStr">
        <is>
          <t>Laptop Stand</t>
        </is>
      </c>
      <c r="J135" s="2" t="n">
        <v>2</v>
      </c>
      <c r="K135" s="3" t="n">
        <v>33.6</v>
      </c>
      <c r="L135" s="3" t="n">
        <v>67.2</v>
      </c>
      <c r="M135" s="3" t="n">
        <v>44.91</v>
      </c>
      <c r="N135" s="3" t="n">
        <v>22.29</v>
      </c>
    </row>
    <row r="136">
      <c r="A136" t="inlineStr">
        <is>
          <t>SO-2411-10134</t>
        </is>
      </c>
      <c r="B136" s="1" t="n">
        <v>45623</v>
      </c>
      <c r="C136" t="inlineStr">
        <is>
          <t>South</t>
        </is>
      </c>
      <c r="D136" t="inlineStr">
        <is>
          <t>FL</t>
        </is>
      </c>
      <c r="E136" t="inlineStr">
        <is>
          <t>Miami</t>
        </is>
      </c>
      <c r="F136" t="inlineStr">
        <is>
          <t>Online</t>
        </is>
      </c>
      <c r="G136" t="inlineStr">
        <is>
          <t>Corporate</t>
        </is>
      </c>
      <c r="H136" t="inlineStr">
        <is>
          <t>Furniture</t>
        </is>
      </c>
      <c r="I136" t="inlineStr">
        <is>
          <t>Bookshelf</t>
        </is>
      </c>
      <c r="J136" s="2" t="n">
        <v>1</v>
      </c>
      <c r="K136" s="3" t="n">
        <v>90.58</v>
      </c>
      <c r="L136" s="3" t="n">
        <v>90.58</v>
      </c>
      <c r="M136" s="3" t="n">
        <v>61.06</v>
      </c>
      <c r="N136" s="3" t="n">
        <v>29.52</v>
      </c>
    </row>
    <row r="137">
      <c r="A137" t="inlineStr">
        <is>
          <t>SO-2407-10135</t>
        </is>
      </c>
      <c r="B137" s="1" t="n">
        <v>45488</v>
      </c>
      <c r="C137" t="inlineStr">
        <is>
          <t>West</t>
        </is>
      </c>
      <c r="D137" t="inlineStr">
        <is>
          <t>AZ</t>
        </is>
      </c>
      <c r="E137" t="inlineStr">
        <is>
          <t>Phoenix</t>
        </is>
      </c>
      <c r="F137" t="inlineStr">
        <is>
          <t>In-Store</t>
        </is>
      </c>
      <c r="G137" t="inlineStr">
        <is>
          <t>Corporate</t>
        </is>
      </c>
      <c r="H137" t="inlineStr">
        <is>
          <t>Furniture</t>
        </is>
      </c>
      <c r="I137" t="inlineStr">
        <is>
          <t>Standing Desk</t>
        </is>
      </c>
      <c r="J137" s="2" t="n">
        <v>4</v>
      </c>
      <c r="K137" s="3" t="n">
        <v>266.34</v>
      </c>
      <c r="L137" s="3" t="n">
        <v>1065.36</v>
      </c>
      <c r="M137" s="3" t="n">
        <v>661</v>
      </c>
      <c r="N137" s="3" t="n">
        <v>404.36</v>
      </c>
    </row>
    <row r="138">
      <c r="A138" t="inlineStr">
        <is>
          <t>SO-2409-10136</t>
        </is>
      </c>
      <c r="B138" s="1" t="n">
        <v>45556</v>
      </c>
      <c r="C138" t="inlineStr">
        <is>
          <t>Northeast</t>
        </is>
      </c>
      <c r="D138" t="inlineStr">
        <is>
          <t>MA</t>
        </is>
      </c>
      <c r="E138" t="inlineStr">
        <is>
          <t>Boston</t>
        </is>
      </c>
      <c r="F138" t="inlineStr">
        <is>
          <t>Partner</t>
        </is>
      </c>
      <c r="G138" t="inlineStr">
        <is>
          <t>Consumer</t>
        </is>
      </c>
      <c r="H138" t="inlineStr">
        <is>
          <t>Office Supplies</t>
        </is>
      </c>
      <c r="I138" t="inlineStr">
        <is>
          <t>Binders</t>
        </is>
      </c>
      <c r="J138" s="2" t="n">
        <v>2</v>
      </c>
      <c r="K138" s="3" t="n">
        <v>10.3</v>
      </c>
      <c r="L138" s="3" t="n">
        <v>20.6</v>
      </c>
      <c r="M138" s="3" t="n">
        <v>12.41</v>
      </c>
      <c r="N138" s="3" t="n">
        <v>8.19</v>
      </c>
    </row>
    <row r="139">
      <c r="A139" t="inlineStr">
        <is>
          <t>SO-2410-10137</t>
        </is>
      </c>
      <c r="B139" s="1" t="n">
        <v>45572</v>
      </c>
      <c r="C139" t="inlineStr">
        <is>
          <t>Northeast</t>
        </is>
      </c>
      <c r="D139" t="inlineStr">
        <is>
          <t>NY</t>
        </is>
      </c>
      <c r="E139" t="inlineStr">
        <is>
          <t>New York</t>
        </is>
      </c>
      <c r="F139" t="inlineStr">
        <is>
          <t>Online</t>
        </is>
      </c>
      <c r="G139" t="inlineStr">
        <is>
          <t>Consumer</t>
        </is>
      </c>
      <c r="H139" t="inlineStr">
        <is>
          <t>Office Supplies</t>
        </is>
      </c>
      <c r="I139" t="inlineStr">
        <is>
          <t>Stapler</t>
        </is>
      </c>
      <c r="J139" s="2" t="n">
        <v>3</v>
      </c>
      <c r="K139" s="3" t="n">
        <v>11.63</v>
      </c>
      <c r="L139" s="3" t="n">
        <v>34.89</v>
      </c>
      <c r="M139" s="3" t="n">
        <v>19.97</v>
      </c>
      <c r="N139" s="3" t="n">
        <v>14.92</v>
      </c>
    </row>
    <row r="140">
      <c r="A140" t="inlineStr">
        <is>
          <t>SO-2408-10138</t>
        </is>
      </c>
      <c r="B140" s="1" t="n">
        <v>45519</v>
      </c>
      <c r="C140" t="inlineStr">
        <is>
          <t>South</t>
        </is>
      </c>
      <c r="D140" t="inlineStr">
        <is>
          <t>FL</t>
        </is>
      </c>
      <c r="E140" t="inlineStr">
        <is>
          <t>Miami</t>
        </is>
      </c>
      <c r="F140" t="inlineStr">
        <is>
          <t>Partner</t>
        </is>
      </c>
      <c r="G140" t="inlineStr">
        <is>
          <t>Small Business</t>
        </is>
      </c>
      <c r="H140" t="inlineStr">
        <is>
          <t>Office Supplies</t>
        </is>
      </c>
      <c r="I140" t="inlineStr">
        <is>
          <t>Stapler</t>
        </is>
      </c>
      <c r="J140" s="2" t="n">
        <v>1</v>
      </c>
      <c r="K140" s="3" t="n">
        <v>12.85</v>
      </c>
      <c r="L140" s="3" t="n">
        <v>12.85</v>
      </c>
      <c r="M140" s="3" t="n">
        <v>7.09</v>
      </c>
      <c r="N140" s="3" t="n">
        <v>5.76</v>
      </c>
    </row>
    <row r="141">
      <c r="A141" t="inlineStr">
        <is>
          <t>SO-2503-10139</t>
        </is>
      </c>
      <c r="B141" s="1" t="n">
        <v>45732</v>
      </c>
      <c r="C141" t="inlineStr">
        <is>
          <t>Midwest</t>
        </is>
      </c>
      <c r="D141" t="inlineStr">
        <is>
          <t>MN</t>
        </is>
      </c>
      <c r="E141" t="inlineStr">
        <is>
          <t>Minneapolis</t>
        </is>
      </c>
      <c r="F141" t="inlineStr">
        <is>
          <t>Partner</t>
        </is>
      </c>
      <c r="G141" t="inlineStr">
        <is>
          <t>Small Business</t>
        </is>
      </c>
      <c r="H141" t="inlineStr">
        <is>
          <t>Office Supplies</t>
        </is>
      </c>
      <c r="I141" t="inlineStr">
        <is>
          <t>Pens</t>
        </is>
      </c>
      <c r="J141" s="2" t="n">
        <v>1</v>
      </c>
      <c r="K141" s="3" t="n">
        <v>4.16</v>
      </c>
      <c r="L141" s="3" t="n">
        <v>4.16</v>
      </c>
      <c r="M141" s="3" t="n">
        <v>2.75</v>
      </c>
      <c r="N141" s="3" t="n">
        <v>1.41</v>
      </c>
    </row>
    <row r="142">
      <c r="A142" t="inlineStr">
        <is>
          <t>SO-2510-10140</t>
        </is>
      </c>
      <c r="B142" s="1" t="n">
        <v>45935</v>
      </c>
      <c r="C142" t="inlineStr">
        <is>
          <t>West</t>
        </is>
      </c>
      <c r="D142" t="inlineStr">
        <is>
          <t>WA</t>
        </is>
      </c>
      <c r="E142" t="inlineStr">
        <is>
          <t>Seattle</t>
        </is>
      </c>
      <c r="F142" t="inlineStr">
        <is>
          <t>Partner</t>
        </is>
      </c>
      <c r="G142" t="inlineStr">
        <is>
          <t>Consumer</t>
        </is>
      </c>
      <c r="H142" t="inlineStr">
        <is>
          <t>Furniture</t>
        </is>
      </c>
      <c r="I142" t="inlineStr">
        <is>
          <t>Standing Desk</t>
        </is>
      </c>
      <c r="J142" s="2" t="n">
        <v>3</v>
      </c>
      <c r="K142" s="3" t="n">
        <v>316.15</v>
      </c>
      <c r="L142" s="3" t="n">
        <v>948.45</v>
      </c>
      <c r="M142" s="3" t="n">
        <v>600.5700000000001</v>
      </c>
      <c r="N142" s="3" t="n">
        <v>347.88</v>
      </c>
    </row>
    <row r="143">
      <c r="A143" t="inlineStr">
        <is>
          <t>SO-2502-10141</t>
        </is>
      </c>
      <c r="B143" s="1" t="n">
        <v>45711</v>
      </c>
      <c r="C143" t="inlineStr">
        <is>
          <t>West</t>
        </is>
      </c>
      <c r="D143" t="inlineStr">
        <is>
          <t>WA</t>
        </is>
      </c>
      <c r="E143" t="inlineStr">
        <is>
          <t>Seattle</t>
        </is>
      </c>
      <c r="F143" t="inlineStr">
        <is>
          <t>Partner</t>
        </is>
      </c>
      <c r="G143" t="inlineStr">
        <is>
          <t>Small Business</t>
        </is>
      </c>
      <c r="H143" t="inlineStr">
        <is>
          <t>Technology</t>
        </is>
      </c>
      <c r="I143" t="inlineStr">
        <is>
          <t>Keyboard</t>
        </is>
      </c>
      <c r="J143" s="2" t="n">
        <v>1</v>
      </c>
      <c r="K143" s="3" t="n">
        <v>36.99</v>
      </c>
      <c r="L143" s="3" t="n">
        <v>36.99</v>
      </c>
      <c r="M143" s="3" t="n">
        <v>25.22</v>
      </c>
      <c r="N143" s="3" t="n">
        <v>11.77</v>
      </c>
    </row>
    <row r="144">
      <c r="A144" t="inlineStr">
        <is>
          <t>SO-2408-10142</t>
        </is>
      </c>
      <c r="B144" s="1" t="n">
        <v>45515</v>
      </c>
      <c r="C144" t="inlineStr">
        <is>
          <t>Northeast</t>
        </is>
      </c>
      <c r="D144" t="inlineStr">
        <is>
          <t>PA</t>
        </is>
      </c>
      <c r="E144" t="inlineStr">
        <is>
          <t>Philadelphia</t>
        </is>
      </c>
      <c r="F144" t="inlineStr">
        <is>
          <t>Online</t>
        </is>
      </c>
      <c r="G144" t="inlineStr">
        <is>
          <t>Small Business</t>
        </is>
      </c>
      <c r="H144" t="inlineStr">
        <is>
          <t>Office Supplies</t>
        </is>
      </c>
      <c r="I144" t="inlineStr">
        <is>
          <t>Stapler</t>
        </is>
      </c>
      <c r="J144" s="2" t="n">
        <v>1</v>
      </c>
      <c r="K144" s="3" t="n">
        <v>14.28</v>
      </c>
      <c r="L144" s="3" t="n">
        <v>14.28</v>
      </c>
      <c r="M144" s="3" t="n">
        <v>9.800000000000001</v>
      </c>
      <c r="N144" s="3" t="n">
        <v>4.48</v>
      </c>
    </row>
    <row r="145">
      <c r="A145" t="inlineStr">
        <is>
          <t>SO-2501-10143</t>
        </is>
      </c>
      <c r="B145" s="1" t="n">
        <v>45670</v>
      </c>
      <c r="C145" t="inlineStr">
        <is>
          <t>Northeast</t>
        </is>
      </c>
      <c r="D145" t="inlineStr">
        <is>
          <t>PA</t>
        </is>
      </c>
      <c r="E145" t="inlineStr">
        <is>
          <t>Philadelphia</t>
        </is>
      </c>
      <c r="F145" t="inlineStr">
        <is>
          <t>Partner</t>
        </is>
      </c>
      <c r="G145" t="inlineStr">
        <is>
          <t>Corporate</t>
        </is>
      </c>
      <c r="H145" t="inlineStr">
        <is>
          <t>Office Supplies</t>
        </is>
      </c>
      <c r="I145" t="inlineStr">
        <is>
          <t>Stapler</t>
        </is>
      </c>
      <c r="J145" s="2" t="n">
        <v>1</v>
      </c>
      <c r="K145" s="3" t="n">
        <v>13.15</v>
      </c>
      <c r="L145" s="3" t="n">
        <v>13.15</v>
      </c>
      <c r="M145" s="3" t="n">
        <v>8.65</v>
      </c>
      <c r="N145" s="3" t="n">
        <v>4.5</v>
      </c>
    </row>
    <row r="146">
      <c r="A146" t="inlineStr">
        <is>
          <t>SO-2412-10144</t>
        </is>
      </c>
      <c r="B146" s="1" t="n">
        <v>45656</v>
      </c>
      <c r="C146" t="inlineStr">
        <is>
          <t>West</t>
        </is>
      </c>
      <c r="D146" t="inlineStr">
        <is>
          <t>CO</t>
        </is>
      </c>
      <c r="E146" t="inlineStr">
        <is>
          <t>Denver</t>
        </is>
      </c>
      <c r="F146" t="inlineStr">
        <is>
          <t>Partner</t>
        </is>
      </c>
      <c r="G146" t="inlineStr">
        <is>
          <t>Consumer</t>
        </is>
      </c>
      <c r="H146" t="inlineStr">
        <is>
          <t>Office Supplies</t>
        </is>
      </c>
      <c r="I146" t="inlineStr">
        <is>
          <t>Pens</t>
        </is>
      </c>
      <c r="J146" s="2" t="n">
        <v>3</v>
      </c>
      <c r="K146" s="3" t="n">
        <v>4.35</v>
      </c>
      <c r="L146" s="3" t="n">
        <v>13.05</v>
      </c>
      <c r="M146" s="3" t="n">
        <v>8.67</v>
      </c>
      <c r="N146" s="3" t="n">
        <v>4.38</v>
      </c>
    </row>
    <row r="147">
      <c r="A147" t="inlineStr">
        <is>
          <t>SO-2511-10145</t>
        </is>
      </c>
      <c r="B147" s="1" t="n">
        <v>45983</v>
      </c>
      <c r="C147" t="inlineStr">
        <is>
          <t>Midwest</t>
        </is>
      </c>
      <c r="D147" t="inlineStr">
        <is>
          <t>MI</t>
        </is>
      </c>
      <c r="E147" t="inlineStr">
        <is>
          <t>Detroit</t>
        </is>
      </c>
      <c r="F147" t="inlineStr">
        <is>
          <t>In-Store</t>
        </is>
      </c>
      <c r="G147" t="inlineStr">
        <is>
          <t>Small Business</t>
        </is>
      </c>
      <c r="H147" t="inlineStr">
        <is>
          <t>Technology</t>
        </is>
      </c>
      <c r="I147" t="inlineStr">
        <is>
          <t>Laptop Stand</t>
        </is>
      </c>
      <c r="J147" s="2" t="n">
        <v>2</v>
      </c>
      <c r="K147" s="3" t="n">
        <v>26.04</v>
      </c>
      <c r="L147" s="3" t="n">
        <v>52.08</v>
      </c>
      <c r="M147" s="3" t="n">
        <v>39.83</v>
      </c>
      <c r="N147" s="3" t="n">
        <v>12.25</v>
      </c>
    </row>
    <row r="148">
      <c r="A148" t="inlineStr">
        <is>
          <t>SO-2502-10146</t>
        </is>
      </c>
      <c r="B148" s="1" t="n">
        <v>45693</v>
      </c>
      <c r="C148" t="inlineStr">
        <is>
          <t>Midwest</t>
        </is>
      </c>
      <c r="D148" t="inlineStr">
        <is>
          <t>IL</t>
        </is>
      </c>
      <c r="E148" t="inlineStr">
        <is>
          <t>Chicago</t>
        </is>
      </c>
      <c r="F148" t="inlineStr">
        <is>
          <t>In-Store</t>
        </is>
      </c>
      <c r="G148" t="inlineStr">
        <is>
          <t>Consumer</t>
        </is>
      </c>
      <c r="H148" t="inlineStr">
        <is>
          <t>Office Supplies</t>
        </is>
      </c>
      <c r="I148" t="inlineStr">
        <is>
          <t>Binders</t>
        </is>
      </c>
      <c r="J148" s="2" t="n">
        <v>2</v>
      </c>
      <c r="K148" s="3" t="n">
        <v>10.71</v>
      </c>
      <c r="L148" s="3" t="n">
        <v>21.42</v>
      </c>
      <c r="M148" s="3" t="n">
        <v>14.8</v>
      </c>
      <c r="N148" s="3" t="n">
        <v>6.62</v>
      </c>
    </row>
    <row r="149">
      <c r="A149" t="inlineStr">
        <is>
          <t>SO-2412-10147</t>
        </is>
      </c>
      <c r="B149" s="1" t="n">
        <v>45653</v>
      </c>
      <c r="C149" t="inlineStr">
        <is>
          <t>Northeast</t>
        </is>
      </c>
      <c r="D149" t="inlineStr">
        <is>
          <t>MA</t>
        </is>
      </c>
      <c r="E149" t="inlineStr">
        <is>
          <t>Boston</t>
        </is>
      </c>
      <c r="F149" t="inlineStr">
        <is>
          <t>Partner</t>
        </is>
      </c>
      <c r="G149" t="inlineStr">
        <is>
          <t>Small Business</t>
        </is>
      </c>
      <c r="H149" t="inlineStr">
        <is>
          <t>Office Supplies</t>
        </is>
      </c>
      <c r="I149" t="inlineStr">
        <is>
          <t>Pens</t>
        </is>
      </c>
      <c r="J149" s="2" t="n">
        <v>1</v>
      </c>
      <c r="K149" s="3" t="n">
        <v>4.45</v>
      </c>
      <c r="L149" s="3" t="n">
        <v>4.45</v>
      </c>
      <c r="M149" s="3" t="n">
        <v>2.82</v>
      </c>
      <c r="N149" s="3" t="n">
        <v>1.63</v>
      </c>
    </row>
    <row r="150">
      <c r="A150" t="inlineStr">
        <is>
          <t>SO-2512-10148</t>
        </is>
      </c>
      <c r="B150" s="1" t="n">
        <v>46013</v>
      </c>
      <c r="C150" t="inlineStr">
        <is>
          <t>West</t>
        </is>
      </c>
      <c r="D150" t="inlineStr">
        <is>
          <t>CO</t>
        </is>
      </c>
      <c r="E150" t="inlineStr">
        <is>
          <t>Denver</t>
        </is>
      </c>
      <c r="F150" t="inlineStr">
        <is>
          <t>In-Store</t>
        </is>
      </c>
      <c r="G150" t="inlineStr">
        <is>
          <t>Small Business</t>
        </is>
      </c>
      <c r="H150" t="inlineStr">
        <is>
          <t>Technology</t>
        </is>
      </c>
      <c r="I150" t="inlineStr">
        <is>
          <t>Keyboard</t>
        </is>
      </c>
      <c r="J150" s="2" t="n">
        <v>4</v>
      </c>
      <c r="K150" s="3" t="n">
        <v>43.35</v>
      </c>
      <c r="L150" s="3" t="n">
        <v>173.4</v>
      </c>
      <c r="M150" s="3" t="n">
        <v>128.5</v>
      </c>
      <c r="N150" s="3" t="n">
        <v>44.9</v>
      </c>
    </row>
    <row r="151">
      <c r="A151" t="inlineStr">
        <is>
          <t>SO-2511-10149</t>
        </is>
      </c>
      <c r="B151" s="1" t="n">
        <v>45962</v>
      </c>
      <c r="C151" t="inlineStr">
        <is>
          <t>Midwest</t>
        </is>
      </c>
      <c r="D151" t="inlineStr">
        <is>
          <t>MN</t>
        </is>
      </c>
      <c r="E151" t="inlineStr">
        <is>
          <t>Minneapolis</t>
        </is>
      </c>
      <c r="F151" t="inlineStr">
        <is>
          <t>In-Store</t>
        </is>
      </c>
      <c r="G151" t="inlineStr">
        <is>
          <t>Corporate</t>
        </is>
      </c>
      <c r="H151" t="inlineStr">
        <is>
          <t>Furniture</t>
        </is>
      </c>
      <c r="I151" t="inlineStr">
        <is>
          <t>Standing Desk</t>
        </is>
      </c>
      <c r="J151" s="2" t="n">
        <v>4</v>
      </c>
      <c r="K151" s="3" t="n">
        <v>298.33</v>
      </c>
      <c r="L151" s="3" t="n">
        <v>1193.32</v>
      </c>
      <c r="M151" s="3" t="n">
        <v>764.75</v>
      </c>
      <c r="N151" s="3" t="n">
        <v>428.57</v>
      </c>
    </row>
    <row r="152">
      <c r="A152" t="inlineStr">
        <is>
          <t>SO-2402-10150</t>
        </is>
      </c>
      <c r="B152" s="1" t="n">
        <v>45350</v>
      </c>
      <c r="C152" t="inlineStr">
        <is>
          <t>West</t>
        </is>
      </c>
      <c r="D152" t="inlineStr">
        <is>
          <t>CO</t>
        </is>
      </c>
      <c r="E152" t="inlineStr">
        <is>
          <t>Denver</t>
        </is>
      </c>
      <c r="F152" t="inlineStr">
        <is>
          <t>Online</t>
        </is>
      </c>
      <c r="G152" t="inlineStr">
        <is>
          <t>Small Business</t>
        </is>
      </c>
      <c r="H152" t="inlineStr">
        <is>
          <t>Technology</t>
        </is>
      </c>
      <c r="I152" t="inlineStr">
        <is>
          <t>Mouse</t>
        </is>
      </c>
      <c r="J152" s="2" t="n">
        <v>4</v>
      </c>
      <c r="K152" s="3" t="n">
        <v>20.95</v>
      </c>
      <c r="L152" s="3" t="n">
        <v>83.8</v>
      </c>
      <c r="M152" s="3" t="n">
        <v>64.29000000000001</v>
      </c>
      <c r="N152" s="3" t="n">
        <v>19.51</v>
      </c>
    </row>
    <row r="153">
      <c r="A153" t="inlineStr">
        <is>
          <t>SO-2511-10151</t>
        </is>
      </c>
      <c r="B153" s="1" t="n">
        <v>45963</v>
      </c>
      <c r="C153" t="inlineStr">
        <is>
          <t>Midwest</t>
        </is>
      </c>
      <c r="D153" t="inlineStr">
        <is>
          <t>OH</t>
        </is>
      </c>
      <c r="E153" t="inlineStr">
        <is>
          <t>Columbus</t>
        </is>
      </c>
      <c r="F153" t="inlineStr">
        <is>
          <t>In-Store</t>
        </is>
      </c>
      <c r="G153" t="inlineStr">
        <is>
          <t>Corporate</t>
        </is>
      </c>
      <c r="H153" t="inlineStr">
        <is>
          <t>Furniture</t>
        </is>
      </c>
      <c r="I153" t="inlineStr">
        <is>
          <t>Bookshelf</t>
        </is>
      </c>
      <c r="J153" s="2" t="n">
        <v>5</v>
      </c>
      <c r="K153" s="3" t="n">
        <v>93.58</v>
      </c>
      <c r="L153" s="3" t="n">
        <v>467.9</v>
      </c>
      <c r="M153" s="3" t="n">
        <v>347.09</v>
      </c>
      <c r="N153" s="3" t="n">
        <v>120.81</v>
      </c>
    </row>
    <row r="154">
      <c r="A154" t="inlineStr">
        <is>
          <t>SO-2507-10152</t>
        </is>
      </c>
      <c r="B154" s="1" t="n">
        <v>45839</v>
      </c>
      <c r="C154" t="inlineStr">
        <is>
          <t>South</t>
        </is>
      </c>
      <c r="D154" t="inlineStr">
        <is>
          <t>AL</t>
        </is>
      </c>
      <c r="E154" t="inlineStr">
        <is>
          <t>Birmingham</t>
        </is>
      </c>
      <c r="F154" t="inlineStr">
        <is>
          <t>Online</t>
        </is>
      </c>
      <c r="G154" t="inlineStr">
        <is>
          <t>Small Business</t>
        </is>
      </c>
      <c r="H154" t="inlineStr">
        <is>
          <t>Office Supplies</t>
        </is>
      </c>
      <c r="I154" t="inlineStr">
        <is>
          <t>Pens</t>
        </is>
      </c>
      <c r="J154" s="2" t="n">
        <v>3</v>
      </c>
      <c r="K154" s="3" t="n">
        <v>4.86</v>
      </c>
      <c r="L154" s="3" t="n">
        <v>14.58</v>
      </c>
      <c r="M154" s="3" t="n">
        <v>8.779999999999999</v>
      </c>
      <c r="N154" s="3" t="n">
        <v>5.8</v>
      </c>
    </row>
    <row r="155">
      <c r="A155" t="inlineStr">
        <is>
          <t>SO-2404-10153</t>
        </is>
      </c>
      <c r="B155" s="1" t="n">
        <v>45411</v>
      </c>
      <c r="C155" t="inlineStr">
        <is>
          <t>South</t>
        </is>
      </c>
      <c r="D155" t="inlineStr">
        <is>
          <t>FL</t>
        </is>
      </c>
      <c r="E155" t="inlineStr">
        <is>
          <t>Miami</t>
        </is>
      </c>
      <c r="F155" t="inlineStr">
        <is>
          <t>Partner</t>
        </is>
      </c>
      <c r="G155" t="inlineStr">
        <is>
          <t>Consumer</t>
        </is>
      </c>
      <c r="H155" t="inlineStr">
        <is>
          <t>Office Supplies</t>
        </is>
      </c>
      <c r="I155" t="inlineStr">
        <is>
          <t>Stapler</t>
        </is>
      </c>
      <c r="J155" s="2" t="n">
        <v>1</v>
      </c>
      <c r="K155" s="3" t="n">
        <v>13.74</v>
      </c>
      <c r="L155" s="3" t="n">
        <v>13.74</v>
      </c>
      <c r="M155" s="3" t="n">
        <v>8.65</v>
      </c>
      <c r="N155" s="3" t="n">
        <v>5.09</v>
      </c>
    </row>
    <row r="156">
      <c r="A156" t="inlineStr">
        <is>
          <t>SO-2512-10154</t>
        </is>
      </c>
      <c r="B156" s="1" t="n">
        <v>46009</v>
      </c>
      <c r="C156" t="inlineStr">
        <is>
          <t>Midwest</t>
        </is>
      </c>
      <c r="D156" t="inlineStr">
        <is>
          <t>MN</t>
        </is>
      </c>
      <c r="E156" t="inlineStr">
        <is>
          <t>Minneapolis</t>
        </is>
      </c>
      <c r="F156" t="inlineStr">
        <is>
          <t>In-Store</t>
        </is>
      </c>
      <c r="G156" t="inlineStr">
        <is>
          <t>Consumer</t>
        </is>
      </c>
      <c r="H156" t="inlineStr">
        <is>
          <t>Office Supplies</t>
        </is>
      </c>
      <c r="I156" t="inlineStr">
        <is>
          <t>Pens</t>
        </is>
      </c>
      <c r="J156" s="2" t="n">
        <v>3</v>
      </c>
      <c r="K156" s="3" t="n">
        <v>4.45</v>
      </c>
      <c r="L156" s="3" t="n">
        <v>13.35</v>
      </c>
      <c r="M156" s="3" t="n">
        <v>8.460000000000001</v>
      </c>
      <c r="N156" s="3" t="n">
        <v>4.89</v>
      </c>
    </row>
    <row r="157">
      <c r="A157" t="inlineStr">
        <is>
          <t>SO-2410-10155</t>
        </is>
      </c>
      <c r="B157" s="1" t="n">
        <v>45595</v>
      </c>
      <c r="C157" t="inlineStr">
        <is>
          <t>West</t>
        </is>
      </c>
      <c r="D157" t="inlineStr">
        <is>
          <t>WA</t>
        </is>
      </c>
      <c r="E157" t="inlineStr">
        <is>
          <t>Seattle</t>
        </is>
      </c>
      <c r="F157" t="inlineStr">
        <is>
          <t>In-Store</t>
        </is>
      </c>
      <c r="G157" t="inlineStr">
        <is>
          <t>Corporate</t>
        </is>
      </c>
      <c r="H157" t="inlineStr">
        <is>
          <t>Furniture</t>
        </is>
      </c>
      <c r="I157" t="inlineStr">
        <is>
          <t>Desk Chair</t>
        </is>
      </c>
      <c r="J157" s="2" t="n">
        <v>3</v>
      </c>
      <c r="K157" s="3" t="n">
        <v>116.74</v>
      </c>
      <c r="L157" s="3" t="n">
        <v>350.22</v>
      </c>
      <c r="M157" s="3" t="n">
        <v>232.75</v>
      </c>
      <c r="N157" s="3" t="n">
        <v>117.47</v>
      </c>
    </row>
    <row r="158">
      <c r="A158" t="inlineStr">
        <is>
          <t>SO-2402-10156</t>
        </is>
      </c>
      <c r="B158" s="1" t="n">
        <v>45338</v>
      </c>
      <c r="C158" t="inlineStr">
        <is>
          <t>West</t>
        </is>
      </c>
      <c r="D158" t="inlineStr">
        <is>
          <t>CO</t>
        </is>
      </c>
      <c r="E158" t="inlineStr">
        <is>
          <t>Denver</t>
        </is>
      </c>
      <c r="F158" t="inlineStr">
        <is>
          <t>Partner</t>
        </is>
      </c>
      <c r="G158" t="inlineStr">
        <is>
          <t>Small Business</t>
        </is>
      </c>
      <c r="H158" t="inlineStr">
        <is>
          <t>Furniture</t>
        </is>
      </c>
      <c r="I158" t="inlineStr">
        <is>
          <t>Desk Chair</t>
        </is>
      </c>
      <c r="J158" s="2" t="n">
        <v>3</v>
      </c>
      <c r="K158" s="3" t="n">
        <v>117.53</v>
      </c>
      <c r="L158" s="3" t="n">
        <v>352.59</v>
      </c>
      <c r="M158" s="3" t="n">
        <v>205.73</v>
      </c>
      <c r="N158" s="3" t="n">
        <v>146.86</v>
      </c>
    </row>
    <row r="159">
      <c r="A159" t="inlineStr">
        <is>
          <t>SO-2510-10157</t>
        </is>
      </c>
      <c r="B159" s="1" t="n">
        <v>45932</v>
      </c>
      <c r="C159" t="inlineStr">
        <is>
          <t>Midwest</t>
        </is>
      </c>
      <c r="D159" t="inlineStr">
        <is>
          <t>IL</t>
        </is>
      </c>
      <c r="E159" t="inlineStr">
        <is>
          <t>Chicago</t>
        </is>
      </c>
      <c r="F159" t="inlineStr">
        <is>
          <t>Online</t>
        </is>
      </c>
      <c r="G159" t="inlineStr">
        <is>
          <t>Corporate</t>
        </is>
      </c>
      <c r="H159" t="inlineStr">
        <is>
          <t>Furniture</t>
        </is>
      </c>
      <c r="I159" t="inlineStr">
        <is>
          <t>Filing Cabinet</t>
        </is>
      </c>
      <c r="J159" s="2" t="n">
        <v>2</v>
      </c>
      <c r="K159" s="3" t="n">
        <v>159.25</v>
      </c>
      <c r="L159" s="3" t="n">
        <v>318.5</v>
      </c>
      <c r="M159" s="3" t="n">
        <v>223.62</v>
      </c>
      <c r="N159" s="3" t="n">
        <v>94.88</v>
      </c>
    </row>
    <row r="160">
      <c r="A160" t="inlineStr">
        <is>
          <t>SO-2412-10158</t>
        </is>
      </c>
      <c r="B160" s="1" t="n">
        <v>45642</v>
      </c>
      <c r="C160" t="inlineStr">
        <is>
          <t>South</t>
        </is>
      </c>
      <c r="D160" t="inlineStr">
        <is>
          <t>FL</t>
        </is>
      </c>
      <c r="E160" t="inlineStr">
        <is>
          <t>Miami</t>
        </is>
      </c>
      <c r="F160" t="inlineStr">
        <is>
          <t>In-Store</t>
        </is>
      </c>
      <c r="G160" t="inlineStr">
        <is>
          <t>Corporate</t>
        </is>
      </c>
      <c r="H160" t="inlineStr">
        <is>
          <t>Technology</t>
        </is>
      </c>
      <c r="I160" t="inlineStr">
        <is>
          <t>Laptop Stand</t>
        </is>
      </c>
      <c r="J160" s="2" t="n">
        <v>2</v>
      </c>
      <c r="K160" s="3" t="n">
        <v>32.5</v>
      </c>
      <c r="L160" s="3" t="n">
        <v>65</v>
      </c>
      <c r="M160" s="3" t="n">
        <v>49.67</v>
      </c>
      <c r="N160" s="3" t="n">
        <v>15.33</v>
      </c>
    </row>
    <row r="161">
      <c r="A161" t="inlineStr">
        <is>
          <t>SO-2506-10159</t>
        </is>
      </c>
      <c r="B161" s="1" t="n">
        <v>45810</v>
      </c>
      <c r="C161" t="inlineStr">
        <is>
          <t>South</t>
        </is>
      </c>
      <c r="D161" t="inlineStr">
        <is>
          <t>FL</t>
        </is>
      </c>
      <c r="E161" t="inlineStr">
        <is>
          <t>Miami</t>
        </is>
      </c>
      <c r="F161" t="inlineStr">
        <is>
          <t>In-Store</t>
        </is>
      </c>
      <c r="G161" t="inlineStr">
        <is>
          <t>Consumer</t>
        </is>
      </c>
      <c r="H161" t="inlineStr">
        <is>
          <t>Technology</t>
        </is>
      </c>
      <c r="I161" t="inlineStr">
        <is>
          <t>Monitor</t>
        </is>
      </c>
      <c r="J161" s="2" t="n">
        <v>1</v>
      </c>
      <c r="K161" s="3" t="n">
        <v>197.69</v>
      </c>
      <c r="L161" s="3" t="n">
        <v>197.69</v>
      </c>
      <c r="M161" s="3" t="n">
        <v>136.54</v>
      </c>
      <c r="N161" s="3" t="n">
        <v>61.15</v>
      </c>
    </row>
    <row r="162">
      <c r="A162" t="inlineStr">
        <is>
          <t>SO-2402-10160</t>
        </is>
      </c>
      <c r="B162" s="1" t="n">
        <v>45333</v>
      </c>
      <c r="C162" t="inlineStr">
        <is>
          <t>West</t>
        </is>
      </c>
      <c r="D162" t="inlineStr">
        <is>
          <t>CA</t>
        </is>
      </c>
      <c r="E162" t="inlineStr">
        <is>
          <t>Los Angeles</t>
        </is>
      </c>
      <c r="F162" t="inlineStr">
        <is>
          <t>In-Store</t>
        </is>
      </c>
      <c r="G162" t="inlineStr">
        <is>
          <t>Small Business</t>
        </is>
      </c>
      <c r="H162" t="inlineStr">
        <is>
          <t>Technology</t>
        </is>
      </c>
      <c r="I162" t="inlineStr">
        <is>
          <t>Keyboard</t>
        </is>
      </c>
      <c r="J162" s="2" t="n">
        <v>4</v>
      </c>
      <c r="K162" s="3" t="n">
        <v>37.8</v>
      </c>
      <c r="L162" s="3" t="n">
        <v>151.2</v>
      </c>
      <c r="M162" s="3" t="n">
        <v>106.68</v>
      </c>
      <c r="N162" s="3" t="n">
        <v>44.52</v>
      </c>
    </row>
    <row r="163">
      <c r="A163" t="inlineStr">
        <is>
          <t>SO-2511-10161</t>
        </is>
      </c>
      <c r="B163" s="1" t="n">
        <v>45965</v>
      </c>
      <c r="C163" t="inlineStr">
        <is>
          <t>West</t>
        </is>
      </c>
      <c r="D163" t="inlineStr">
        <is>
          <t>CA</t>
        </is>
      </c>
      <c r="E163" t="inlineStr">
        <is>
          <t>Los Angeles</t>
        </is>
      </c>
      <c r="F163" t="inlineStr">
        <is>
          <t>Online</t>
        </is>
      </c>
      <c r="G163" t="inlineStr">
        <is>
          <t>Small Business</t>
        </is>
      </c>
      <c r="H163" t="inlineStr">
        <is>
          <t>Technology</t>
        </is>
      </c>
      <c r="I163" t="inlineStr">
        <is>
          <t>Monitor</t>
        </is>
      </c>
      <c r="J163" s="2" t="n">
        <v>3</v>
      </c>
      <c r="K163" s="3" t="n">
        <v>158.85</v>
      </c>
      <c r="L163" s="3" t="n">
        <v>476.55</v>
      </c>
      <c r="M163" s="3" t="n">
        <v>356.44</v>
      </c>
      <c r="N163" s="3" t="n">
        <v>120.11</v>
      </c>
    </row>
    <row r="164">
      <c r="A164" t="inlineStr">
        <is>
          <t>SO-2404-10162</t>
        </is>
      </c>
      <c r="B164" s="1" t="n">
        <v>45395</v>
      </c>
      <c r="C164" t="inlineStr">
        <is>
          <t>West</t>
        </is>
      </c>
      <c r="D164" t="inlineStr">
        <is>
          <t>WA</t>
        </is>
      </c>
      <c r="E164" t="inlineStr">
        <is>
          <t>Seattle</t>
        </is>
      </c>
      <c r="F164" t="inlineStr">
        <is>
          <t>Partner</t>
        </is>
      </c>
      <c r="G164" t="inlineStr">
        <is>
          <t>Consumer</t>
        </is>
      </c>
      <c r="H164" t="inlineStr">
        <is>
          <t>Furniture</t>
        </is>
      </c>
      <c r="I164" t="inlineStr">
        <is>
          <t>Desk Chair</t>
        </is>
      </c>
      <c r="J164" s="2" t="n">
        <v>2</v>
      </c>
      <c r="K164" s="3" t="n">
        <v>118.78</v>
      </c>
      <c r="L164" s="3" t="n">
        <v>237.56</v>
      </c>
      <c r="M164" s="3" t="n">
        <v>168.59</v>
      </c>
      <c r="N164" s="3" t="n">
        <v>68.97</v>
      </c>
    </row>
    <row r="165">
      <c r="A165" t="inlineStr">
        <is>
          <t>SO-2409-10163</t>
        </is>
      </c>
      <c r="B165" s="1" t="n">
        <v>45556</v>
      </c>
      <c r="C165" t="inlineStr">
        <is>
          <t>South</t>
        </is>
      </c>
      <c r="D165" t="inlineStr">
        <is>
          <t>TN</t>
        </is>
      </c>
      <c r="E165" t="inlineStr">
        <is>
          <t>Nashville</t>
        </is>
      </c>
      <c r="F165" t="inlineStr">
        <is>
          <t>In-Store</t>
        </is>
      </c>
      <c r="G165" t="inlineStr">
        <is>
          <t>Consumer</t>
        </is>
      </c>
      <c r="H165" t="inlineStr">
        <is>
          <t>Office Supplies</t>
        </is>
      </c>
      <c r="I165" t="inlineStr">
        <is>
          <t>Paper</t>
        </is>
      </c>
      <c r="J165" s="2" t="n">
        <v>5</v>
      </c>
      <c r="K165" s="3" t="n">
        <v>6.72</v>
      </c>
      <c r="L165" s="3" t="n">
        <v>33.6</v>
      </c>
      <c r="M165" s="3" t="n">
        <v>22.63</v>
      </c>
      <c r="N165" s="3" t="n">
        <v>10.97</v>
      </c>
    </row>
    <row r="166">
      <c r="A166" t="inlineStr">
        <is>
          <t>SO-2508-10164</t>
        </is>
      </c>
      <c r="B166" s="1" t="n">
        <v>45873</v>
      </c>
      <c r="C166" t="inlineStr">
        <is>
          <t>West</t>
        </is>
      </c>
      <c r="D166" t="inlineStr">
        <is>
          <t>CA</t>
        </is>
      </c>
      <c r="E166" t="inlineStr">
        <is>
          <t>Los Angeles</t>
        </is>
      </c>
      <c r="F166" t="inlineStr">
        <is>
          <t>Partner</t>
        </is>
      </c>
      <c r="G166" t="inlineStr">
        <is>
          <t>Consumer</t>
        </is>
      </c>
      <c r="H166" t="inlineStr">
        <is>
          <t>Technology</t>
        </is>
      </c>
      <c r="I166" t="inlineStr">
        <is>
          <t>Mouse</t>
        </is>
      </c>
      <c r="J166" s="2" t="n">
        <v>2</v>
      </c>
      <c r="K166" s="3" t="n">
        <v>19.57</v>
      </c>
      <c r="L166" s="3" t="n">
        <v>39.14</v>
      </c>
      <c r="M166" s="3" t="n">
        <v>30.06</v>
      </c>
      <c r="N166" s="3" t="n">
        <v>9.08</v>
      </c>
    </row>
    <row r="167">
      <c r="A167" t="inlineStr">
        <is>
          <t>SO-2511-10165</t>
        </is>
      </c>
      <c r="B167" s="1" t="n">
        <v>45967</v>
      </c>
      <c r="C167" t="inlineStr">
        <is>
          <t>South</t>
        </is>
      </c>
      <c r="D167" t="inlineStr">
        <is>
          <t>TN</t>
        </is>
      </c>
      <c r="E167" t="inlineStr">
        <is>
          <t>Nashville</t>
        </is>
      </c>
      <c r="F167" t="inlineStr">
        <is>
          <t>Online</t>
        </is>
      </c>
      <c r="G167" t="inlineStr">
        <is>
          <t>Corporate</t>
        </is>
      </c>
      <c r="H167" t="inlineStr">
        <is>
          <t>Furniture</t>
        </is>
      </c>
      <c r="I167" t="inlineStr">
        <is>
          <t>Filing Cabinet</t>
        </is>
      </c>
      <c r="J167" s="2" t="n">
        <v>1</v>
      </c>
      <c r="K167" s="3" t="n">
        <v>157.42</v>
      </c>
      <c r="L167" s="3" t="n">
        <v>157.42</v>
      </c>
      <c r="M167" s="3" t="n">
        <v>107.15</v>
      </c>
      <c r="N167" s="3" t="n">
        <v>50.27</v>
      </c>
    </row>
    <row r="168">
      <c r="A168" t="inlineStr">
        <is>
          <t>SO-2512-10166</t>
        </is>
      </c>
      <c r="B168" s="1" t="n">
        <v>45992</v>
      </c>
      <c r="C168" t="inlineStr">
        <is>
          <t>West</t>
        </is>
      </c>
      <c r="D168" t="inlineStr">
        <is>
          <t>CA</t>
        </is>
      </c>
      <c r="E168" t="inlineStr">
        <is>
          <t>Los Angeles</t>
        </is>
      </c>
      <c r="F168" t="inlineStr">
        <is>
          <t>Partner</t>
        </is>
      </c>
      <c r="G168" t="inlineStr">
        <is>
          <t>Consumer</t>
        </is>
      </c>
      <c r="H168" t="inlineStr">
        <is>
          <t>Office Supplies</t>
        </is>
      </c>
      <c r="I168" t="inlineStr">
        <is>
          <t>Stapler</t>
        </is>
      </c>
      <c r="J168" s="2" t="n">
        <v>2</v>
      </c>
      <c r="K168" s="3" t="n">
        <v>11.87</v>
      </c>
      <c r="L168" s="3" t="n">
        <v>23.74</v>
      </c>
      <c r="M168" s="3" t="n">
        <v>13.6</v>
      </c>
      <c r="N168" s="3" t="n">
        <v>10.14</v>
      </c>
    </row>
    <row r="169">
      <c r="A169" t="inlineStr">
        <is>
          <t>SO-2407-10167</t>
        </is>
      </c>
      <c r="B169" s="1" t="n">
        <v>45483</v>
      </c>
      <c r="C169" t="inlineStr">
        <is>
          <t>South</t>
        </is>
      </c>
      <c r="D169" t="inlineStr">
        <is>
          <t>AL</t>
        </is>
      </c>
      <c r="E169" t="inlineStr">
        <is>
          <t>Birmingham</t>
        </is>
      </c>
      <c r="F169" t="inlineStr">
        <is>
          <t>Online</t>
        </is>
      </c>
      <c r="G169" t="inlineStr">
        <is>
          <t>Corporate</t>
        </is>
      </c>
      <c r="H169" t="inlineStr">
        <is>
          <t>Office Supplies</t>
        </is>
      </c>
      <c r="I169" t="inlineStr">
        <is>
          <t>Pens</t>
        </is>
      </c>
      <c r="J169" s="2" t="n">
        <v>3</v>
      </c>
      <c r="K169" s="3" t="n">
        <v>4.45</v>
      </c>
      <c r="L169" s="3" t="n">
        <v>13.35</v>
      </c>
      <c r="M169" s="3" t="n">
        <v>7.89</v>
      </c>
      <c r="N169" s="3" t="n">
        <v>5.46</v>
      </c>
    </row>
    <row r="170">
      <c r="A170" t="inlineStr">
        <is>
          <t>SO-2402-10168</t>
        </is>
      </c>
      <c r="B170" s="1" t="n">
        <v>45324</v>
      </c>
      <c r="C170" t="inlineStr">
        <is>
          <t>Northeast</t>
        </is>
      </c>
      <c r="D170" t="inlineStr">
        <is>
          <t>NY</t>
        </is>
      </c>
      <c r="E170" t="inlineStr">
        <is>
          <t>New York</t>
        </is>
      </c>
      <c r="F170" t="inlineStr">
        <is>
          <t>Online</t>
        </is>
      </c>
      <c r="G170" t="inlineStr">
        <is>
          <t>Consumer</t>
        </is>
      </c>
      <c r="H170" t="inlineStr">
        <is>
          <t>Technology</t>
        </is>
      </c>
      <c r="I170" t="inlineStr">
        <is>
          <t>Laptop Stand</t>
        </is>
      </c>
      <c r="J170" s="2" t="n">
        <v>3</v>
      </c>
      <c r="K170" s="3" t="n">
        <v>29.64</v>
      </c>
      <c r="L170" s="3" t="n">
        <v>88.92</v>
      </c>
      <c r="M170" s="3" t="n">
        <v>57.42</v>
      </c>
      <c r="N170" s="3" t="n">
        <v>31.5</v>
      </c>
    </row>
    <row r="171">
      <c r="A171" t="inlineStr">
        <is>
          <t>SO-2509-10169</t>
        </is>
      </c>
      <c r="B171" s="1" t="n">
        <v>45915</v>
      </c>
      <c r="C171" t="inlineStr">
        <is>
          <t>South</t>
        </is>
      </c>
      <c r="D171" t="inlineStr">
        <is>
          <t>GA</t>
        </is>
      </c>
      <c r="E171" t="inlineStr">
        <is>
          <t>Atlanta</t>
        </is>
      </c>
      <c r="F171" t="inlineStr">
        <is>
          <t>Online</t>
        </is>
      </c>
      <c r="G171" t="inlineStr">
        <is>
          <t>Corporate</t>
        </is>
      </c>
      <c r="H171" t="inlineStr">
        <is>
          <t>Technology</t>
        </is>
      </c>
      <c r="I171" t="inlineStr">
        <is>
          <t>Monitor</t>
        </is>
      </c>
      <c r="J171" s="2" t="n">
        <v>4</v>
      </c>
      <c r="K171" s="3" t="n">
        <v>169.87</v>
      </c>
      <c r="L171" s="3" t="n">
        <v>679.48</v>
      </c>
      <c r="M171" s="3" t="n">
        <v>524.8200000000001</v>
      </c>
      <c r="N171" s="3" t="n">
        <v>154.66</v>
      </c>
    </row>
    <row r="172">
      <c r="A172" t="inlineStr">
        <is>
          <t>SO-2510-10170</t>
        </is>
      </c>
      <c r="B172" s="1" t="n">
        <v>45936</v>
      </c>
      <c r="C172" t="inlineStr">
        <is>
          <t>Midwest</t>
        </is>
      </c>
      <c r="D172" t="inlineStr">
        <is>
          <t>MN</t>
        </is>
      </c>
      <c r="E172" t="inlineStr">
        <is>
          <t>Minneapolis</t>
        </is>
      </c>
      <c r="F172" t="inlineStr">
        <is>
          <t>In-Store</t>
        </is>
      </c>
      <c r="G172" t="inlineStr">
        <is>
          <t>Corporate</t>
        </is>
      </c>
      <c r="H172" t="inlineStr">
        <is>
          <t>Technology</t>
        </is>
      </c>
      <c r="I172" t="inlineStr">
        <is>
          <t>Keyboard</t>
        </is>
      </c>
      <c r="J172" s="2" t="n">
        <v>4</v>
      </c>
      <c r="K172" s="3" t="n">
        <v>35.73</v>
      </c>
      <c r="L172" s="3" t="n">
        <v>142.92</v>
      </c>
      <c r="M172" s="3" t="n">
        <v>95.09999999999999</v>
      </c>
      <c r="N172" s="3" t="n">
        <v>47.82</v>
      </c>
    </row>
    <row r="173">
      <c r="A173" t="inlineStr">
        <is>
          <t>SO-2509-10171</t>
        </is>
      </c>
      <c r="B173" s="1" t="n">
        <v>45906</v>
      </c>
      <c r="C173" t="inlineStr">
        <is>
          <t>West</t>
        </is>
      </c>
      <c r="D173" t="inlineStr">
        <is>
          <t>CO</t>
        </is>
      </c>
      <c r="E173" t="inlineStr">
        <is>
          <t>Denver</t>
        </is>
      </c>
      <c r="F173" t="inlineStr">
        <is>
          <t>In-Store</t>
        </is>
      </c>
      <c r="G173" t="inlineStr">
        <is>
          <t>Small Business</t>
        </is>
      </c>
      <c r="H173" t="inlineStr">
        <is>
          <t>Technology</t>
        </is>
      </c>
      <c r="I173" t="inlineStr">
        <is>
          <t>Monitor</t>
        </is>
      </c>
      <c r="J173" s="2" t="n">
        <v>1</v>
      </c>
      <c r="K173" s="3" t="n">
        <v>168.78</v>
      </c>
      <c r="L173" s="3" t="n">
        <v>168.78</v>
      </c>
      <c r="M173" s="3" t="n">
        <v>130.86</v>
      </c>
      <c r="N173" s="3" t="n">
        <v>37.92</v>
      </c>
    </row>
    <row r="174">
      <c r="A174" t="inlineStr">
        <is>
          <t>SO-2501-10172</t>
        </is>
      </c>
      <c r="B174" s="1" t="n">
        <v>45677</v>
      </c>
      <c r="C174" t="inlineStr">
        <is>
          <t>South</t>
        </is>
      </c>
      <c r="D174" t="inlineStr">
        <is>
          <t>AL</t>
        </is>
      </c>
      <c r="E174" t="inlineStr">
        <is>
          <t>Birmingham</t>
        </is>
      </c>
      <c r="F174" t="inlineStr">
        <is>
          <t>Partner</t>
        </is>
      </c>
      <c r="G174" t="inlineStr">
        <is>
          <t>Consumer</t>
        </is>
      </c>
      <c r="H174" t="inlineStr">
        <is>
          <t>Furniture</t>
        </is>
      </c>
      <c r="I174" t="inlineStr">
        <is>
          <t>Bookshelf</t>
        </is>
      </c>
      <c r="J174" s="2" t="n">
        <v>1</v>
      </c>
      <c r="K174" s="3" t="n">
        <v>92.28</v>
      </c>
      <c r="L174" s="3" t="n">
        <v>92.28</v>
      </c>
      <c r="M174" s="3" t="n">
        <v>59.6</v>
      </c>
      <c r="N174" s="3" t="n">
        <v>32.68</v>
      </c>
    </row>
    <row r="175">
      <c r="A175" t="inlineStr">
        <is>
          <t>SO-2402-10173</t>
        </is>
      </c>
      <c r="B175" s="1" t="n">
        <v>45335</v>
      </c>
      <c r="C175" t="inlineStr">
        <is>
          <t>West</t>
        </is>
      </c>
      <c r="D175" t="inlineStr">
        <is>
          <t>AZ</t>
        </is>
      </c>
      <c r="E175" t="inlineStr">
        <is>
          <t>Phoenix</t>
        </is>
      </c>
      <c r="F175" t="inlineStr">
        <is>
          <t>In-Store</t>
        </is>
      </c>
      <c r="G175" t="inlineStr">
        <is>
          <t>Consumer</t>
        </is>
      </c>
      <c r="H175" t="inlineStr">
        <is>
          <t>Furniture</t>
        </is>
      </c>
      <c r="I175" t="inlineStr">
        <is>
          <t>Desk Chair</t>
        </is>
      </c>
      <c r="J175" s="2" t="n">
        <v>4</v>
      </c>
      <c r="K175" s="3" t="n">
        <v>123.03</v>
      </c>
      <c r="L175" s="3" t="n">
        <v>492.12</v>
      </c>
      <c r="M175" s="3" t="n">
        <v>362.45</v>
      </c>
      <c r="N175" s="3" t="n">
        <v>129.67</v>
      </c>
    </row>
    <row r="176">
      <c r="A176" t="inlineStr">
        <is>
          <t>SO-2407-10174</t>
        </is>
      </c>
      <c r="B176" s="1" t="n">
        <v>45497</v>
      </c>
      <c r="C176" t="inlineStr">
        <is>
          <t>Northeast</t>
        </is>
      </c>
      <c r="D176" t="inlineStr">
        <is>
          <t>PA</t>
        </is>
      </c>
      <c r="E176" t="inlineStr">
        <is>
          <t>Philadelphia</t>
        </is>
      </c>
      <c r="F176" t="inlineStr">
        <is>
          <t>Partner</t>
        </is>
      </c>
      <c r="G176" t="inlineStr">
        <is>
          <t>Consumer</t>
        </is>
      </c>
      <c r="H176" t="inlineStr">
        <is>
          <t>Furniture</t>
        </is>
      </c>
      <c r="I176" t="inlineStr">
        <is>
          <t>Filing Cabinet</t>
        </is>
      </c>
      <c r="J176" s="2" t="n">
        <v>3</v>
      </c>
      <c r="K176" s="3" t="n">
        <v>152.64</v>
      </c>
      <c r="L176" s="3" t="n">
        <v>457.92</v>
      </c>
      <c r="M176" s="3" t="n">
        <v>327.67</v>
      </c>
      <c r="N176" s="3" t="n">
        <v>130.25</v>
      </c>
    </row>
    <row r="177">
      <c r="A177" t="inlineStr">
        <is>
          <t>SO-2501-10175</t>
        </is>
      </c>
      <c r="B177" s="1" t="n">
        <v>45686</v>
      </c>
      <c r="C177" t="inlineStr">
        <is>
          <t>Midwest</t>
        </is>
      </c>
      <c r="D177" t="inlineStr">
        <is>
          <t>IL</t>
        </is>
      </c>
      <c r="E177" t="inlineStr">
        <is>
          <t>Chicago</t>
        </is>
      </c>
      <c r="F177" t="inlineStr">
        <is>
          <t>In-Store</t>
        </is>
      </c>
      <c r="G177" t="inlineStr">
        <is>
          <t>Small Business</t>
        </is>
      </c>
      <c r="H177" t="inlineStr">
        <is>
          <t>Furniture</t>
        </is>
      </c>
      <c r="I177" t="inlineStr">
        <is>
          <t>Filing Cabinet</t>
        </is>
      </c>
      <c r="J177" s="2" t="n">
        <v>3</v>
      </c>
      <c r="K177" s="3" t="n">
        <v>158.33</v>
      </c>
      <c r="L177" s="3" t="n">
        <v>474.99</v>
      </c>
      <c r="M177" s="3" t="n">
        <v>336.15</v>
      </c>
      <c r="N177" s="3" t="n">
        <v>138.84</v>
      </c>
    </row>
    <row r="178">
      <c r="A178" t="inlineStr">
        <is>
          <t>SO-2411-10176</t>
        </is>
      </c>
      <c r="B178" s="1" t="n">
        <v>45620</v>
      </c>
      <c r="C178" t="inlineStr">
        <is>
          <t>South</t>
        </is>
      </c>
      <c r="D178" t="inlineStr">
        <is>
          <t>FL</t>
        </is>
      </c>
      <c r="E178" t="inlineStr">
        <is>
          <t>Miami</t>
        </is>
      </c>
      <c r="F178" t="inlineStr">
        <is>
          <t>In-Store</t>
        </is>
      </c>
      <c r="G178" t="inlineStr">
        <is>
          <t>Small Business</t>
        </is>
      </c>
      <c r="H178" t="inlineStr">
        <is>
          <t>Office Supplies</t>
        </is>
      </c>
      <c r="I178" t="inlineStr">
        <is>
          <t>Pens</t>
        </is>
      </c>
      <c r="J178" s="2" t="n">
        <v>2</v>
      </c>
      <c r="K178" s="3" t="n">
        <v>4.35</v>
      </c>
      <c r="L178" s="3" t="n">
        <v>8.699999999999999</v>
      </c>
      <c r="M178" s="3" t="n">
        <v>5.46</v>
      </c>
      <c r="N178" s="3" t="n">
        <v>3.24</v>
      </c>
    </row>
    <row r="179">
      <c r="A179" t="inlineStr">
        <is>
          <t>SO-2501-10177</t>
        </is>
      </c>
      <c r="B179" s="1" t="n">
        <v>45659</v>
      </c>
      <c r="C179" t="inlineStr">
        <is>
          <t>Northeast</t>
        </is>
      </c>
      <c r="D179" t="inlineStr">
        <is>
          <t>MA</t>
        </is>
      </c>
      <c r="E179" t="inlineStr">
        <is>
          <t>Boston</t>
        </is>
      </c>
      <c r="F179" t="inlineStr">
        <is>
          <t>In-Store</t>
        </is>
      </c>
      <c r="G179" t="inlineStr">
        <is>
          <t>Small Business</t>
        </is>
      </c>
      <c r="H179" t="inlineStr">
        <is>
          <t>Office Supplies</t>
        </is>
      </c>
      <c r="I179" t="inlineStr">
        <is>
          <t>Pens</t>
        </is>
      </c>
      <c r="J179" s="2" t="n">
        <v>4</v>
      </c>
      <c r="K179" s="3" t="n">
        <v>3.94</v>
      </c>
      <c r="L179" s="3" t="n">
        <v>15.76</v>
      </c>
      <c r="M179" s="3" t="n">
        <v>10.57</v>
      </c>
      <c r="N179" s="3" t="n">
        <v>5.19</v>
      </c>
    </row>
    <row r="180">
      <c r="A180" t="inlineStr">
        <is>
          <t>SO-2406-10178</t>
        </is>
      </c>
      <c r="B180" s="1" t="n">
        <v>45451</v>
      </c>
      <c r="C180" t="inlineStr">
        <is>
          <t>Northeast</t>
        </is>
      </c>
      <c r="D180" t="inlineStr">
        <is>
          <t>MA</t>
        </is>
      </c>
      <c r="E180" t="inlineStr">
        <is>
          <t>Boston</t>
        </is>
      </c>
      <c r="F180" t="inlineStr">
        <is>
          <t>In-Store</t>
        </is>
      </c>
      <c r="G180" t="inlineStr">
        <is>
          <t>Small Business</t>
        </is>
      </c>
      <c r="H180" t="inlineStr">
        <is>
          <t>Office Supplies</t>
        </is>
      </c>
      <c r="I180" t="inlineStr">
        <is>
          <t>Stapler</t>
        </is>
      </c>
      <c r="J180" s="2" t="n">
        <v>2</v>
      </c>
      <c r="K180" s="3" t="n">
        <v>12.5</v>
      </c>
      <c r="L180" s="3" t="n">
        <v>25</v>
      </c>
      <c r="M180" s="3" t="n">
        <v>14.15</v>
      </c>
      <c r="N180" s="3" t="n">
        <v>10.85</v>
      </c>
    </row>
    <row r="181">
      <c r="A181" t="inlineStr">
        <is>
          <t>SO-2508-10179</t>
        </is>
      </c>
      <c r="B181" s="1" t="n">
        <v>45892</v>
      </c>
      <c r="C181" t="inlineStr">
        <is>
          <t>South</t>
        </is>
      </c>
      <c r="D181" t="inlineStr">
        <is>
          <t>FL</t>
        </is>
      </c>
      <c r="E181" t="inlineStr">
        <is>
          <t>Miami</t>
        </is>
      </c>
      <c r="F181" t="inlineStr">
        <is>
          <t>Partner</t>
        </is>
      </c>
      <c r="G181" t="inlineStr">
        <is>
          <t>Consumer</t>
        </is>
      </c>
      <c r="H181" t="inlineStr">
        <is>
          <t>Technology</t>
        </is>
      </c>
      <c r="I181" t="inlineStr">
        <is>
          <t>Mouse</t>
        </is>
      </c>
      <c r="J181" s="2" t="n">
        <v>7</v>
      </c>
      <c r="K181" s="3" t="n">
        <v>17.56</v>
      </c>
      <c r="L181" s="3" t="n">
        <v>122.92</v>
      </c>
      <c r="M181" s="3" t="n">
        <v>93.02</v>
      </c>
      <c r="N181" s="3" t="n">
        <v>29.9</v>
      </c>
    </row>
    <row r="182">
      <c r="A182" t="inlineStr">
        <is>
          <t>SO-2409-10180</t>
        </is>
      </c>
      <c r="B182" s="1" t="n">
        <v>45552</v>
      </c>
      <c r="C182" t="inlineStr">
        <is>
          <t>Midwest</t>
        </is>
      </c>
      <c r="D182" t="inlineStr">
        <is>
          <t>MI</t>
        </is>
      </c>
      <c r="E182" t="inlineStr">
        <is>
          <t>Detroit</t>
        </is>
      </c>
      <c r="F182" t="inlineStr">
        <is>
          <t>Online</t>
        </is>
      </c>
      <c r="G182" t="inlineStr">
        <is>
          <t>Corporate</t>
        </is>
      </c>
      <c r="H182" t="inlineStr">
        <is>
          <t>Technology</t>
        </is>
      </c>
      <c r="I182" t="inlineStr">
        <is>
          <t>Mouse</t>
        </is>
      </c>
      <c r="J182" s="2" t="n">
        <v>1</v>
      </c>
      <c r="K182" s="3" t="n">
        <v>22.67</v>
      </c>
      <c r="L182" s="3" t="n">
        <v>22.67</v>
      </c>
      <c r="M182" s="3" t="n">
        <v>16.94</v>
      </c>
      <c r="N182" s="3" t="n">
        <v>5.73</v>
      </c>
    </row>
    <row r="183">
      <c r="A183" t="inlineStr">
        <is>
          <t>SO-2505-10181</t>
        </is>
      </c>
      <c r="B183" s="1" t="n">
        <v>45790</v>
      </c>
      <c r="C183" t="inlineStr">
        <is>
          <t>Northeast</t>
        </is>
      </c>
      <c r="D183" t="inlineStr">
        <is>
          <t>MA</t>
        </is>
      </c>
      <c r="E183" t="inlineStr">
        <is>
          <t>Boston</t>
        </is>
      </c>
      <c r="F183" t="inlineStr">
        <is>
          <t>Online</t>
        </is>
      </c>
      <c r="G183" t="inlineStr">
        <is>
          <t>Small Business</t>
        </is>
      </c>
      <c r="H183" t="inlineStr">
        <is>
          <t>Technology</t>
        </is>
      </c>
      <c r="I183" t="inlineStr">
        <is>
          <t>Mouse</t>
        </is>
      </c>
      <c r="J183" s="2" t="n">
        <v>3</v>
      </c>
      <c r="K183" s="3" t="n">
        <v>17.16</v>
      </c>
      <c r="L183" s="3" t="n">
        <v>51.48</v>
      </c>
      <c r="M183" s="3" t="n">
        <v>34.31</v>
      </c>
      <c r="N183" s="3" t="n">
        <v>17.17</v>
      </c>
    </row>
    <row r="184">
      <c r="A184" t="inlineStr">
        <is>
          <t>SO-2511-10182</t>
        </is>
      </c>
      <c r="B184" s="1" t="n">
        <v>45977</v>
      </c>
      <c r="C184" t="inlineStr">
        <is>
          <t>West</t>
        </is>
      </c>
      <c r="D184" t="inlineStr">
        <is>
          <t>CA</t>
        </is>
      </c>
      <c r="E184" t="inlineStr">
        <is>
          <t>Los Angeles</t>
        </is>
      </c>
      <c r="F184" t="inlineStr">
        <is>
          <t>Partner</t>
        </is>
      </c>
      <c r="G184" t="inlineStr">
        <is>
          <t>Corporate</t>
        </is>
      </c>
      <c r="H184" t="inlineStr">
        <is>
          <t>Furniture</t>
        </is>
      </c>
      <c r="I184" t="inlineStr">
        <is>
          <t>Desk Chair</t>
        </is>
      </c>
      <c r="J184" s="2" t="n">
        <v>2</v>
      </c>
      <c r="K184" s="3" t="n">
        <v>120.52</v>
      </c>
      <c r="L184" s="3" t="n">
        <v>241.04</v>
      </c>
      <c r="M184" s="3" t="n">
        <v>178.99</v>
      </c>
      <c r="N184" s="3" t="n">
        <v>62.05</v>
      </c>
    </row>
    <row r="185">
      <c r="A185" t="inlineStr">
        <is>
          <t>SO-2409-10183</t>
        </is>
      </c>
      <c r="B185" s="1" t="n">
        <v>45554</v>
      </c>
      <c r="C185" t="inlineStr">
        <is>
          <t>Northeast</t>
        </is>
      </c>
      <c r="D185" t="inlineStr">
        <is>
          <t>NJ</t>
        </is>
      </c>
      <c r="E185" t="inlineStr">
        <is>
          <t>Newark</t>
        </is>
      </c>
      <c r="F185" t="inlineStr">
        <is>
          <t>In-Store</t>
        </is>
      </c>
      <c r="G185" t="inlineStr">
        <is>
          <t>Consumer</t>
        </is>
      </c>
      <c r="H185" t="inlineStr">
        <is>
          <t>Office Supplies</t>
        </is>
      </c>
      <c r="I185" t="inlineStr">
        <is>
          <t>Binders</t>
        </is>
      </c>
      <c r="J185" s="2" t="n">
        <v>1</v>
      </c>
      <c r="K185" s="3" t="n">
        <v>11.39</v>
      </c>
      <c r="L185" s="3" t="n">
        <v>11.39</v>
      </c>
      <c r="M185" s="3" t="n">
        <v>7.96</v>
      </c>
      <c r="N185" s="3" t="n">
        <v>3.43</v>
      </c>
    </row>
    <row r="186">
      <c r="A186" t="inlineStr">
        <is>
          <t>SO-2511-10184</t>
        </is>
      </c>
      <c r="B186" s="1" t="n">
        <v>45985</v>
      </c>
      <c r="C186" t="inlineStr">
        <is>
          <t>South</t>
        </is>
      </c>
      <c r="D186" t="inlineStr">
        <is>
          <t>GA</t>
        </is>
      </c>
      <c r="E186" t="inlineStr">
        <is>
          <t>Atlanta</t>
        </is>
      </c>
      <c r="F186" t="inlineStr">
        <is>
          <t>Partner</t>
        </is>
      </c>
      <c r="G186" t="inlineStr">
        <is>
          <t>Corporate</t>
        </is>
      </c>
      <c r="H186" t="inlineStr">
        <is>
          <t>Technology</t>
        </is>
      </c>
      <c r="I186" t="inlineStr">
        <is>
          <t>Laptop Stand</t>
        </is>
      </c>
      <c r="J186" s="2" t="n">
        <v>2</v>
      </c>
      <c r="K186" s="3" t="n">
        <v>25.99</v>
      </c>
      <c r="L186" s="3" t="n">
        <v>51.98</v>
      </c>
      <c r="M186" s="3" t="n">
        <v>38.25</v>
      </c>
      <c r="N186" s="3" t="n">
        <v>13.73</v>
      </c>
    </row>
    <row r="187">
      <c r="A187" t="inlineStr">
        <is>
          <t>SO-2503-10185</t>
        </is>
      </c>
      <c r="B187" s="1" t="n">
        <v>45743</v>
      </c>
      <c r="C187" t="inlineStr">
        <is>
          <t>West</t>
        </is>
      </c>
      <c r="D187" t="inlineStr">
        <is>
          <t>CA</t>
        </is>
      </c>
      <c r="E187" t="inlineStr">
        <is>
          <t>Los Angeles</t>
        </is>
      </c>
      <c r="F187" t="inlineStr">
        <is>
          <t>Online</t>
        </is>
      </c>
      <c r="G187" t="inlineStr">
        <is>
          <t>Consumer</t>
        </is>
      </c>
      <c r="H187" t="inlineStr">
        <is>
          <t>Technology</t>
        </is>
      </c>
      <c r="I187" t="inlineStr">
        <is>
          <t>Monitor</t>
        </is>
      </c>
      <c r="J187" s="2" t="n">
        <v>4</v>
      </c>
      <c r="K187" s="3" t="n">
        <v>173.06</v>
      </c>
      <c r="L187" s="3" t="n">
        <v>692.24</v>
      </c>
      <c r="M187" s="3" t="n">
        <v>462.07</v>
      </c>
      <c r="N187" s="3" t="n">
        <v>230.17</v>
      </c>
    </row>
    <row r="188">
      <c r="A188" t="inlineStr">
        <is>
          <t>SO-2509-10186</t>
        </is>
      </c>
      <c r="B188" s="1" t="n">
        <v>45925</v>
      </c>
      <c r="C188" t="inlineStr">
        <is>
          <t>South</t>
        </is>
      </c>
      <c r="D188" t="inlineStr">
        <is>
          <t>TN</t>
        </is>
      </c>
      <c r="E188" t="inlineStr">
        <is>
          <t>Nashville</t>
        </is>
      </c>
      <c r="F188" t="inlineStr">
        <is>
          <t>In-Store</t>
        </is>
      </c>
      <c r="G188" t="inlineStr">
        <is>
          <t>Small Business</t>
        </is>
      </c>
      <c r="H188" t="inlineStr">
        <is>
          <t>Furniture</t>
        </is>
      </c>
      <c r="I188" t="inlineStr">
        <is>
          <t>Standing Desk</t>
        </is>
      </c>
      <c r="J188" s="2" t="n">
        <v>4</v>
      </c>
      <c r="K188" s="3" t="n">
        <v>326.89</v>
      </c>
      <c r="L188" s="3" t="n">
        <v>1307.56</v>
      </c>
      <c r="M188" s="3" t="n">
        <v>775.6799999999999</v>
      </c>
      <c r="N188" s="3" t="n">
        <v>531.88</v>
      </c>
    </row>
    <row r="189">
      <c r="A189" t="inlineStr">
        <is>
          <t>SO-2408-10187</t>
        </is>
      </c>
      <c r="B189" s="1" t="n">
        <v>45531</v>
      </c>
      <c r="C189" t="inlineStr">
        <is>
          <t>Northeast</t>
        </is>
      </c>
      <c r="D189" t="inlineStr">
        <is>
          <t>NJ</t>
        </is>
      </c>
      <c r="E189" t="inlineStr">
        <is>
          <t>Newark</t>
        </is>
      </c>
      <c r="F189" t="inlineStr">
        <is>
          <t>In-Store</t>
        </is>
      </c>
      <c r="G189" t="inlineStr">
        <is>
          <t>Consumer</t>
        </is>
      </c>
      <c r="H189" t="inlineStr">
        <is>
          <t>Office Supplies</t>
        </is>
      </c>
      <c r="I189" t="inlineStr">
        <is>
          <t>Stapler</t>
        </is>
      </c>
      <c r="J189" s="2" t="n">
        <v>3</v>
      </c>
      <c r="K189" s="3" t="n">
        <v>14.32</v>
      </c>
      <c r="L189" s="3" t="n">
        <v>42.96</v>
      </c>
      <c r="M189" s="3" t="n">
        <v>27.68</v>
      </c>
      <c r="N189" s="3" t="n">
        <v>15.28</v>
      </c>
    </row>
    <row r="190">
      <c r="A190" t="inlineStr">
        <is>
          <t>SO-2503-10188</t>
        </is>
      </c>
      <c r="B190" s="1" t="n">
        <v>45741</v>
      </c>
      <c r="C190" t="inlineStr">
        <is>
          <t>Midwest</t>
        </is>
      </c>
      <c r="D190" t="inlineStr">
        <is>
          <t>OH</t>
        </is>
      </c>
      <c r="E190" t="inlineStr">
        <is>
          <t>Columbus</t>
        </is>
      </c>
      <c r="F190" t="inlineStr">
        <is>
          <t>Online</t>
        </is>
      </c>
      <c r="G190" t="inlineStr">
        <is>
          <t>Corporate</t>
        </is>
      </c>
      <c r="H190" t="inlineStr">
        <is>
          <t>Technology</t>
        </is>
      </c>
      <c r="I190" t="inlineStr">
        <is>
          <t>Keyboard</t>
        </is>
      </c>
      <c r="J190" s="2" t="n">
        <v>3</v>
      </c>
      <c r="K190" s="3" t="n">
        <v>42.82</v>
      </c>
      <c r="L190" s="3" t="n">
        <v>128.46</v>
      </c>
      <c r="M190" s="3" t="n">
        <v>87.51000000000001</v>
      </c>
      <c r="N190" s="3" t="n">
        <v>40.95</v>
      </c>
    </row>
    <row r="191">
      <c r="A191" t="inlineStr">
        <is>
          <t>SO-2409-10189</t>
        </is>
      </c>
      <c r="B191" s="1" t="n">
        <v>45558</v>
      </c>
      <c r="C191" t="inlineStr">
        <is>
          <t>West</t>
        </is>
      </c>
      <c r="D191" t="inlineStr">
        <is>
          <t>CO</t>
        </is>
      </c>
      <c r="E191" t="inlineStr">
        <is>
          <t>Denver</t>
        </is>
      </c>
      <c r="F191" t="inlineStr">
        <is>
          <t>In-Store</t>
        </is>
      </c>
      <c r="G191" t="inlineStr">
        <is>
          <t>Consumer</t>
        </is>
      </c>
      <c r="H191" t="inlineStr">
        <is>
          <t>Office Supplies</t>
        </is>
      </c>
      <c r="I191" t="inlineStr">
        <is>
          <t>Pens</t>
        </is>
      </c>
      <c r="J191" s="2" t="n">
        <v>4</v>
      </c>
      <c r="K191" s="3" t="n">
        <v>3.85</v>
      </c>
      <c r="L191" s="3" t="n">
        <v>15.4</v>
      </c>
      <c r="M191" s="3" t="n">
        <v>9.789999999999999</v>
      </c>
      <c r="N191" s="3" t="n">
        <v>5.61</v>
      </c>
    </row>
    <row r="192">
      <c r="A192" t="inlineStr">
        <is>
          <t>SO-2408-10190</t>
        </is>
      </c>
      <c r="B192" s="1" t="n">
        <v>45508</v>
      </c>
      <c r="C192" t="inlineStr">
        <is>
          <t>Midwest</t>
        </is>
      </c>
      <c r="D192" t="inlineStr">
        <is>
          <t>MN</t>
        </is>
      </c>
      <c r="E192" t="inlineStr">
        <is>
          <t>Minneapolis</t>
        </is>
      </c>
      <c r="F192" t="inlineStr">
        <is>
          <t>Partner</t>
        </is>
      </c>
      <c r="G192" t="inlineStr">
        <is>
          <t>Corporate</t>
        </is>
      </c>
      <c r="H192" t="inlineStr">
        <is>
          <t>Technology</t>
        </is>
      </c>
      <c r="I192" t="inlineStr">
        <is>
          <t>Mouse</t>
        </is>
      </c>
      <c r="J192" s="2" t="n">
        <v>7</v>
      </c>
      <c r="K192" s="3" t="n">
        <v>17.91</v>
      </c>
      <c r="L192" s="3" t="n">
        <v>125.37</v>
      </c>
      <c r="M192" s="3" t="n">
        <v>89.45999999999999</v>
      </c>
      <c r="N192" s="3" t="n">
        <v>35.91</v>
      </c>
    </row>
    <row r="193">
      <c r="A193" t="inlineStr">
        <is>
          <t>SO-2408-10191</t>
        </is>
      </c>
      <c r="B193" s="1" t="n">
        <v>45535</v>
      </c>
      <c r="C193" t="inlineStr">
        <is>
          <t>Midwest</t>
        </is>
      </c>
      <c r="D193" t="inlineStr">
        <is>
          <t>IL</t>
        </is>
      </c>
      <c r="E193" t="inlineStr">
        <is>
          <t>Chicago</t>
        </is>
      </c>
      <c r="F193" t="inlineStr">
        <is>
          <t>Online</t>
        </is>
      </c>
      <c r="G193" t="inlineStr">
        <is>
          <t>Corporate</t>
        </is>
      </c>
      <c r="H193" t="inlineStr">
        <is>
          <t>Technology</t>
        </is>
      </c>
      <c r="I193" t="inlineStr">
        <is>
          <t>Keyboard</t>
        </is>
      </c>
      <c r="J193" s="2" t="n">
        <v>3</v>
      </c>
      <c r="K193" s="3" t="n">
        <v>45.64</v>
      </c>
      <c r="L193" s="3" t="n">
        <v>136.92</v>
      </c>
      <c r="M193" s="3" t="n">
        <v>88.59999999999999</v>
      </c>
      <c r="N193" s="3" t="n">
        <v>48.32</v>
      </c>
    </row>
    <row r="194">
      <c r="A194" t="inlineStr">
        <is>
          <t>SO-2503-10192</t>
        </is>
      </c>
      <c r="B194" s="1" t="n">
        <v>45744</v>
      </c>
      <c r="C194" t="inlineStr">
        <is>
          <t>Midwest</t>
        </is>
      </c>
      <c r="D194" t="inlineStr">
        <is>
          <t>MN</t>
        </is>
      </c>
      <c r="E194" t="inlineStr">
        <is>
          <t>Minneapolis</t>
        </is>
      </c>
      <c r="F194" t="inlineStr">
        <is>
          <t>Partner</t>
        </is>
      </c>
      <c r="G194" t="inlineStr">
        <is>
          <t>Corporate</t>
        </is>
      </c>
      <c r="H194" t="inlineStr">
        <is>
          <t>Office Supplies</t>
        </is>
      </c>
      <c r="I194" t="inlineStr">
        <is>
          <t>Paper</t>
        </is>
      </c>
      <c r="J194" s="2" t="n">
        <v>2</v>
      </c>
      <c r="K194" s="3" t="n">
        <v>7.69</v>
      </c>
      <c r="L194" s="3" t="n">
        <v>15.38</v>
      </c>
      <c r="M194" s="3" t="n">
        <v>10.72</v>
      </c>
      <c r="N194" s="3" t="n">
        <v>4.66</v>
      </c>
    </row>
    <row r="195">
      <c r="A195" t="inlineStr">
        <is>
          <t>SO-2508-10193</t>
        </is>
      </c>
      <c r="B195" s="1" t="n">
        <v>45877</v>
      </c>
      <c r="C195" t="inlineStr">
        <is>
          <t>Northeast</t>
        </is>
      </c>
      <c r="D195" t="inlineStr">
        <is>
          <t>NJ</t>
        </is>
      </c>
      <c r="E195" t="inlineStr">
        <is>
          <t>Newark</t>
        </is>
      </c>
      <c r="F195" t="inlineStr">
        <is>
          <t>Online</t>
        </is>
      </c>
      <c r="G195" t="inlineStr">
        <is>
          <t>Consumer</t>
        </is>
      </c>
      <c r="H195" t="inlineStr">
        <is>
          <t>Office Supplies</t>
        </is>
      </c>
      <c r="I195" t="inlineStr">
        <is>
          <t>Binders</t>
        </is>
      </c>
      <c r="J195" s="2" t="n">
        <v>1</v>
      </c>
      <c r="K195" s="3" t="n">
        <v>9.050000000000001</v>
      </c>
      <c r="L195" s="3" t="n">
        <v>9.050000000000001</v>
      </c>
      <c r="M195" s="3" t="n">
        <v>5.57</v>
      </c>
      <c r="N195" s="3" t="n">
        <v>3.48</v>
      </c>
    </row>
    <row r="196">
      <c r="A196" t="inlineStr">
        <is>
          <t>SO-2505-10194</t>
        </is>
      </c>
      <c r="B196" s="1" t="n">
        <v>45799</v>
      </c>
      <c r="C196" t="inlineStr">
        <is>
          <t>Northeast</t>
        </is>
      </c>
      <c r="D196" t="inlineStr">
        <is>
          <t>MA</t>
        </is>
      </c>
      <c r="E196" t="inlineStr">
        <is>
          <t>Boston</t>
        </is>
      </c>
      <c r="F196" t="inlineStr">
        <is>
          <t>In-Store</t>
        </is>
      </c>
      <c r="G196" t="inlineStr">
        <is>
          <t>Consumer</t>
        </is>
      </c>
      <c r="H196" t="inlineStr">
        <is>
          <t>Furniture</t>
        </is>
      </c>
      <c r="I196" t="inlineStr">
        <is>
          <t>Standing Desk</t>
        </is>
      </c>
      <c r="J196" s="2" t="n">
        <v>3</v>
      </c>
      <c r="K196" s="3" t="n">
        <v>272.69</v>
      </c>
      <c r="L196" s="3" t="n">
        <v>818.0700000000001</v>
      </c>
      <c r="M196" s="3" t="n">
        <v>559.11</v>
      </c>
      <c r="N196" s="3" t="n">
        <v>258.96</v>
      </c>
    </row>
    <row r="197">
      <c r="A197" t="inlineStr">
        <is>
          <t>SO-2502-10195</t>
        </is>
      </c>
      <c r="B197" s="1" t="n">
        <v>45709</v>
      </c>
      <c r="C197" t="inlineStr">
        <is>
          <t>Northeast</t>
        </is>
      </c>
      <c r="D197" t="inlineStr">
        <is>
          <t>MA</t>
        </is>
      </c>
      <c r="E197" t="inlineStr">
        <is>
          <t>Boston</t>
        </is>
      </c>
      <c r="F197" t="inlineStr">
        <is>
          <t>Partner</t>
        </is>
      </c>
      <c r="G197" t="inlineStr">
        <is>
          <t>Consumer</t>
        </is>
      </c>
      <c r="H197" t="inlineStr">
        <is>
          <t>Furniture</t>
        </is>
      </c>
      <c r="I197" t="inlineStr">
        <is>
          <t>Standing Desk</t>
        </is>
      </c>
      <c r="J197" s="2" t="n">
        <v>1</v>
      </c>
      <c r="K197" s="3" t="n">
        <v>307.45</v>
      </c>
      <c r="L197" s="3" t="n">
        <v>307.45</v>
      </c>
      <c r="M197" s="3" t="n">
        <v>216.62</v>
      </c>
      <c r="N197" s="3" t="n">
        <v>90.83</v>
      </c>
    </row>
    <row r="198">
      <c r="A198" t="inlineStr">
        <is>
          <t>SO-2511-10196</t>
        </is>
      </c>
      <c r="B198" s="1" t="n">
        <v>45973</v>
      </c>
      <c r="C198" t="inlineStr">
        <is>
          <t>Midwest</t>
        </is>
      </c>
      <c r="D198" t="inlineStr">
        <is>
          <t>MI</t>
        </is>
      </c>
      <c r="E198" t="inlineStr">
        <is>
          <t>Detroit</t>
        </is>
      </c>
      <c r="F198" t="inlineStr">
        <is>
          <t>In-Store</t>
        </is>
      </c>
      <c r="G198" t="inlineStr">
        <is>
          <t>Consumer</t>
        </is>
      </c>
      <c r="H198" t="inlineStr">
        <is>
          <t>Technology</t>
        </is>
      </c>
      <c r="I198" t="inlineStr">
        <is>
          <t>Laptop Stand</t>
        </is>
      </c>
      <c r="J198" s="2" t="n">
        <v>6</v>
      </c>
      <c r="K198" s="3" t="n">
        <v>26.3</v>
      </c>
      <c r="L198" s="3" t="n">
        <v>157.8</v>
      </c>
      <c r="M198" s="3" t="n">
        <v>116.35</v>
      </c>
      <c r="N198" s="3" t="n">
        <v>41.45</v>
      </c>
    </row>
    <row r="199">
      <c r="A199" t="inlineStr">
        <is>
          <t>SO-2504-10197</t>
        </is>
      </c>
      <c r="B199" s="1" t="n">
        <v>45748</v>
      </c>
      <c r="C199" t="inlineStr">
        <is>
          <t>Northeast</t>
        </is>
      </c>
      <c r="D199" t="inlineStr">
        <is>
          <t>PA</t>
        </is>
      </c>
      <c r="E199" t="inlineStr">
        <is>
          <t>Philadelphia</t>
        </is>
      </c>
      <c r="F199" t="inlineStr">
        <is>
          <t>Partner</t>
        </is>
      </c>
      <c r="G199" t="inlineStr">
        <is>
          <t>Consumer</t>
        </is>
      </c>
      <c r="H199" t="inlineStr">
        <is>
          <t>Office Supplies</t>
        </is>
      </c>
      <c r="I199" t="inlineStr">
        <is>
          <t>Pens</t>
        </is>
      </c>
      <c r="J199" s="2" t="n">
        <v>3</v>
      </c>
      <c r="K199" s="3" t="n">
        <v>4.76</v>
      </c>
      <c r="L199" s="3" t="n">
        <v>14.28</v>
      </c>
      <c r="M199" s="3" t="n">
        <v>9.09</v>
      </c>
      <c r="N199" s="3" t="n">
        <v>5.19</v>
      </c>
    </row>
    <row r="200">
      <c r="A200" t="inlineStr">
        <is>
          <t>SO-2501-10198</t>
        </is>
      </c>
      <c r="B200" s="1" t="n">
        <v>45682</v>
      </c>
      <c r="C200" t="inlineStr">
        <is>
          <t>South</t>
        </is>
      </c>
      <c r="D200" t="inlineStr">
        <is>
          <t>FL</t>
        </is>
      </c>
      <c r="E200" t="inlineStr">
        <is>
          <t>Miami</t>
        </is>
      </c>
      <c r="F200" t="inlineStr">
        <is>
          <t>Partner</t>
        </is>
      </c>
      <c r="G200" t="inlineStr">
        <is>
          <t>Consumer</t>
        </is>
      </c>
      <c r="H200" t="inlineStr">
        <is>
          <t>Furniture</t>
        </is>
      </c>
      <c r="I200" t="inlineStr">
        <is>
          <t>Standing Desk</t>
        </is>
      </c>
      <c r="J200" s="2" t="n">
        <v>5</v>
      </c>
      <c r="K200" s="3" t="n">
        <v>328.48</v>
      </c>
      <c r="L200" s="3" t="n">
        <v>1642.4</v>
      </c>
      <c r="M200" s="3" t="n">
        <v>1151.16</v>
      </c>
      <c r="N200" s="3" t="n">
        <v>491.24</v>
      </c>
    </row>
    <row r="201">
      <c r="A201" t="inlineStr">
        <is>
          <t>SO-2409-10199</t>
        </is>
      </c>
      <c r="B201" s="1" t="n">
        <v>45541</v>
      </c>
      <c r="C201" t="inlineStr">
        <is>
          <t>Midwest</t>
        </is>
      </c>
      <c r="D201" t="inlineStr">
        <is>
          <t>IL</t>
        </is>
      </c>
      <c r="E201" t="inlineStr">
        <is>
          <t>Chicago</t>
        </is>
      </c>
      <c r="F201" t="inlineStr">
        <is>
          <t>Online</t>
        </is>
      </c>
      <c r="G201" t="inlineStr">
        <is>
          <t>Consumer</t>
        </is>
      </c>
      <c r="H201" t="inlineStr">
        <is>
          <t>Furniture</t>
        </is>
      </c>
      <c r="I201" t="inlineStr">
        <is>
          <t>Filing Cabinet</t>
        </is>
      </c>
      <c r="J201" s="2" t="n">
        <v>3</v>
      </c>
      <c r="K201" s="3" t="n">
        <v>157.42</v>
      </c>
      <c r="L201" s="3" t="n">
        <v>472.26</v>
      </c>
      <c r="M201" s="3" t="n">
        <v>284.7</v>
      </c>
      <c r="N201" s="3" t="n">
        <v>187.56</v>
      </c>
    </row>
    <row r="202">
      <c r="A202" t="inlineStr">
        <is>
          <t>SO-2512-10200</t>
        </is>
      </c>
      <c r="B202" s="1" t="n">
        <v>46007</v>
      </c>
      <c r="C202" t="inlineStr">
        <is>
          <t>Northeast</t>
        </is>
      </c>
      <c r="D202" t="inlineStr">
        <is>
          <t>MA</t>
        </is>
      </c>
      <c r="E202" t="inlineStr">
        <is>
          <t>Boston</t>
        </is>
      </c>
      <c r="F202" t="inlineStr">
        <is>
          <t>Partner</t>
        </is>
      </c>
      <c r="G202" t="inlineStr">
        <is>
          <t>Consumer</t>
        </is>
      </c>
      <c r="H202" t="inlineStr">
        <is>
          <t>Office Supplies</t>
        </is>
      </c>
      <c r="I202" t="inlineStr">
        <is>
          <t>Binders</t>
        </is>
      </c>
      <c r="J202" s="2" t="n">
        <v>6</v>
      </c>
      <c r="K202" s="3" t="n">
        <v>9.24</v>
      </c>
      <c r="L202" s="3" t="n">
        <v>55.44</v>
      </c>
      <c r="M202" s="3" t="n">
        <v>37.29</v>
      </c>
      <c r="N202" s="3" t="n">
        <v>18.15</v>
      </c>
    </row>
    <row r="203">
      <c r="A203" t="inlineStr">
        <is>
          <t>SO-2407-10201</t>
        </is>
      </c>
      <c r="B203" s="1" t="n">
        <v>45475</v>
      </c>
      <c r="C203" t="inlineStr">
        <is>
          <t>Midwest</t>
        </is>
      </c>
      <c r="D203" t="inlineStr">
        <is>
          <t>IL</t>
        </is>
      </c>
      <c r="E203" t="inlineStr">
        <is>
          <t>Chicago</t>
        </is>
      </c>
      <c r="F203" t="inlineStr">
        <is>
          <t>Online</t>
        </is>
      </c>
      <c r="G203" t="inlineStr">
        <is>
          <t>Corporate</t>
        </is>
      </c>
      <c r="H203" t="inlineStr">
        <is>
          <t>Furniture</t>
        </is>
      </c>
      <c r="I203" t="inlineStr">
        <is>
          <t>Filing Cabinet</t>
        </is>
      </c>
      <c r="J203" s="2" t="n">
        <v>4</v>
      </c>
      <c r="K203" s="3" t="n">
        <v>161.09</v>
      </c>
      <c r="L203" s="3" t="n">
        <v>644.36</v>
      </c>
      <c r="M203" s="3" t="n">
        <v>468.98</v>
      </c>
      <c r="N203" s="3" t="n">
        <v>175.38</v>
      </c>
    </row>
    <row r="204">
      <c r="A204" t="inlineStr">
        <is>
          <t>SO-2408-10202</t>
        </is>
      </c>
      <c r="B204" s="1" t="n">
        <v>45524</v>
      </c>
      <c r="C204" t="inlineStr">
        <is>
          <t>South</t>
        </is>
      </c>
      <c r="D204" t="inlineStr">
        <is>
          <t>TN</t>
        </is>
      </c>
      <c r="E204" t="inlineStr">
        <is>
          <t>Nashville</t>
        </is>
      </c>
      <c r="F204" t="inlineStr">
        <is>
          <t>Online</t>
        </is>
      </c>
      <c r="G204" t="inlineStr">
        <is>
          <t>Consumer</t>
        </is>
      </c>
      <c r="H204" t="inlineStr">
        <is>
          <t>Technology</t>
        </is>
      </c>
      <c r="I204" t="inlineStr">
        <is>
          <t>Monitor</t>
        </is>
      </c>
      <c r="J204" s="2" t="n">
        <v>2</v>
      </c>
      <c r="K204" s="3" t="n">
        <v>158.93</v>
      </c>
      <c r="L204" s="3" t="n">
        <v>317.86</v>
      </c>
      <c r="M204" s="3" t="n">
        <v>241.32</v>
      </c>
      <c r="N204" s="3" t="n">
        <v>76.54000000000001</v>
      </c>
    </row>
    <row r="205">
      <c r="A205" t="inlineStr">
        <is>
          <t>SO-2506-10203</t>
        </is>
      </c>
      <c r="B205" s="1" t="n">
        <v>45830</v>
      </c>
      <c r="C205" t="inlineStr">
        <is>
          <t>West</t>
        </is>
      </c>
      <c r="D205" t="inlineStr">
        <is>
          <t>CO</t>
        </is>
      </c>
      <c r="E205" t="inlineStr">
        <is>
          <t>Denver</t>
        </is>
      </c>
      <c r="F205" t="inlineStr">
        <is>
          <t>Online</t>
        </is>
      </c>
      <c r="G205" t="inlineStr">
        <is>
          <t>Corporate</t>
        </is>
      </c>
      <c r="H205" t="inlineStr">
        <is>
          <t>Office Supplies</t>
        </is>
      </c>
      <c r="I205" t="inlineStr">
        <is>
          <t>Paper</t>
        </is>
      </c>
      <c r="J205" s="2" t="n">
        <v>6</v>
      </c>
      <c r="K205" s="3" t="n">
        <v>7.91</v>
      </c>
      <c r="L205" s="3" t="n">
        <v>47.46</v>
      </c>
      <c r="M205" s="3" t="n">
        <v>28.87</v>
      </c>
      <c r="N205" s="3" t="n">
        <v>18.59</v>
      </c>
    </row>
    <row r="206">
      <c r="A206" t="inlineStr">
        <is>
          <t>SO-2411-10204</t>
        </is>
      </c>
      <c r="B206" s="1" t="n">
        <v>45620</v>
      </c>
      <c r="C206" t="inlineStr">
        <is>
          <t>South</t>
        </is>
      </c>
      <c r="D206" t="inlineStr">
        <is>
          <t>FL</t>
        </is>
      </c>
      <c r="E206" t="inlineStr">
        <is>
          <t>Miami</t>
        </is>
      </c>
      <c r="F206" t="inlineStr">
        <is>
          <t>In-Store</t>
        </is>
      </c>
      <c r="G206" t="inlineStr">
        <is>
          <t>Small Business</t>
        </is>
      </c>
      <c r="H206" t="inlineStr">
        <is>
          <t>Technology</t>
        </is>
      </c>
      <c r="I206" t="inlineStr">
        <is>
          <t>Laptop Stand</t>
        </is>
      </c>
      <c r="J206" s="2" t="n">
        <v>1</v>
      </c>
      <c r="K206" s="3" t="n">
        <v>27.65</v>
      </c>
      <c r="L206" s="3" t="n">
        <v>27.65</v>
      </c>
      <c r="M206" s="3" t="n">
        <v>18.76</v>
      </c>
      <c r="N206" s="3" t="n">
        <v>8.890000000000001</v>
      </c>
    </row>
    <row r="207">
      <c r="A207" t="inlineStr">
        <is>
          <t>SO-2510-10205</t>
        </is>
      </c>
      <c r="B207" s="1" t="n">
        <v>45939</v>
      </c>
      <c r="C207" t="inlineStr">
        <is>
          <t>South</t>
        </is>
      </c>
      <c r="D207" t="inlineStr">
        <is>
          <t>FL</t>
        </is>
      </c>
      <c r="E207" t="inlineStr">
        <is>
          <t>Miami</t>
        </is>
      </c>
      <c r="F207" t="inlineStr">
        <is>
          <t>Online</t>
        </is>
      </c>
      <c r="G207" t="inlineStr">
        <is>
          <t>Corporate</t>
        </is>
      </c>
      <c r="H207" t="inlineStr">
        <is>
          <t>Furniture</t>
        </is>
      </c>
      <c r="I207" t="inlineStr">
        <is>
          <t>Standing Desk</t>
        </is>
      </c>
      <c r="J207" s="2" t="n">
        <v>2</v>
      </c>
      <c r="K207" s="3" t="n">
        <v>341.2</v>
      </c>
      <c r="L207" s="3" t="n">
        <v>682.4</v>
      </c>
      <c r="M207" s="3" t="n">
        <v>444.76</v>
      </c>
      <c r="N207" s="3" t="n">
        <v>237.64</v>
      </c>
    </row>
    <row r="208">
      <c r="A208" t="inlineStr">
        <is>
          <t>SO-2502-10206</t>
        </is>
      </c>
      <c r="B208" s="1" t="n">
        <v>45698</v>
      </c>
      <c r="C208" t="inlineStr">
        <is>
          <t>South</t>
        </is>
      </c>
      <c r="D208" t="inlineStr">
        <is>
          <t>AL</t>
        </is>
      </c>
      <c r="E208" t="inlineStr">
        <is>
          <t>Birmingham</t>
        </is>
      </c>
      <c r="F208" t="inlineStr">
        <is>
          <t>In-Store</t>
        </is>
      </c>
      <c r="G208" t="inlineStr">
        <is>
          <t>Small Business</t>
        </is>
      </c>
      <c r="H208" t="inlineStr">
        <is>
          <t>Office Supplies</t>
        </is>
      </c>
      <c r="I208" t="inlineStr">
        <is>
          <t>Binders</t>
        </is>
      </c>
      <c r="J208" s="2" t="n">
        <v>4</v>
      </c>
      <c r="K208" s="3" t="n">
        <v>9.789999999999999</v>
      </c>
      <c r="L208" s="3" t="n">
        <v>39.16</v>
      </c>
      <c r="M208" s="3" t="n">
        <v>24.5</v>
      </c>
      <c r="N208" s="3" t="n">
        <v>14.66</v>
      </c>
    </row>
    <row r="209">
      <c r="A209" t="inlineStr">
        <is>
          <t>SO-2402-10207</t>
        </is>
      </c>
      <c r="B209" s="1" t="n">
        <v>45328</v>
      </c>
      <c r="C209" t="inlineStr">
        <is>
          <t>South</t>
        </is>
      </c>
      <c r="D209" t="inlineStr">
        <is>
          <t>GA</t>
        </is>
      </c>
      <c r="E209" t="inlineStr">
        <is>
          <t>Atlanta</t>
        </is>
      </c>
      <c r="F209" t="inlineStr">
        <is>
          <t>Partner</t>
        </is>
      </c>
      <c r="G209" t="inlineStr">
        <is>
          <t>Consumer</t>
        </is>
      </c>
      <c r="H209" t="inlineStr">
        <is>
          <t>Office Supplies</t>
        </is>
      </c>
      <c r="I209" t="inlineStr">
        <is>
          <t>Binders</t>
        </is>
      </c>
      <c r="J209" s="2" t="n">
        <v>4</v>
      </c>
      <c r="K209" s="3" t="n">
        <v>11.24</v>
      </c>
      <c r="L209" s="3" t="n">
        <v>44.96</v>
      </c>
      <c r="M209" s="3" t="n">
        <v>28.93</v>
      </c>
      <c r="N209" s="3" t="n">
        <v>16.03</v>
      </c>
    </row>
    <row r="210">
      <c r="A210" t="inlineStr">
        <is>
          <t>SO-2510-10208</t>
        </is>
      </c>
      <c r="B210" s="1" t="n">
        <v>45955</v>
      </c>
      <c r="C210" t="inlineStr">
        <is>
          <t>Midwest</t>
        </is>
      </c>
      <c r="D210" t="inlineStr">
        <is>
          <t>IL</t>
        </is>
      </c>
      <c r="E210" t="inlineStr">
        <is>
          <t>Chicago</t>
        </is>
      </c>
      <c r="F210" t="inlineStr">
        <is>
          <t>Online</t>
        </is>
      </c>
      <c r="G210" t="inlineStr">
        <is>
          <t>Consumer</t>
        </is>
      </c>
      <c r="H210" t="inlineStr">
        <is>
          <t>Furniture</t>
        </is>
      </c>
      <c r="I210" t="inlineStr">
        <is>
          <t>Desk Chair</t>
        </is>
      </c>
      <c r="J210" s="2" t="n">
        <v>7</v>
      </c>
      <c r="K210" s="3" t="n">
        <v>127.4</v>
      </c>
      <c r="L210" s="3" t="n">
        <v>891.8</v>
      </c>
      <c r="M210" s="3" t="n">
        <v>563.55</v>
      </c>
      <c r="N210" s="3" t="n">
        <v>328.25</v>
      </c>
    </row>
    <row r="211">
      <c r="A211" t="inlineStr">
        <is>
          <t>SO-2410-10209</t>
        </is>
      </c>
      <c r="B211" s="1" t="n">
        <v>45592</v>
      </c>
      <c r="C211" t="inlineStr">
        <is>
          <t>South</t>
        </is>
      </c>
      <c r="D211" t="inlineStr">
        <is>
          <t>FL</t>
        </is>
      </c>
      <c r="E211" t="inlineStr">
        <is>
          <t>Miami</t>
        </is>
      </c>
      <c r="F211" t="inlineStr">
        <is>
          <t>In-Store</t>
        </is>
      </c>
      <c r="G211" t="inlineStr">
        <is>
          <t>Small Business</t>
        </is>
      </c>
      <c r="H211" t="inlineStr">
        <is>
          <t>Office Supplies</t>
        </is>
      </c>
      <c r="I211" t="inlineStr">
        <is>
          <t>Stapler</t>
        </is>
      </c>
      <c r="J211" s="2" t="n">
        <v>3</v>
      </c>
      <c r="K211" s="3" t="n">
        <v>13.34</v>
      </c>
      <c r="L211" s="3" t="n">
        <v>40.02</v>
      </c>
      <c r="M211" s="3" t="n">
        <v>27.61</v>
      </c>
      <c r="N211" s="3" t="n">
        <v>12.41</v>
      </c>
    </row>
    <row r="212">
      <c r="A212" t="inlineStr">
        <is>
          <t>SO-2408-10210</t>
        </is>
      </c>
      <c r="B212" s="1" t="n">
        <v>45518</v>
      </c>
      <c r="C212" t="inlineStr">
        <is>
          <t>Midwest</t>
        </is>
      </c>
      <c r="D212" t="inlineStr">
        <is>
          <t>MI</t>
        </is>
      </c>
      <c r="E212" t="inlineStr">
        <is>
          <t>Detroit</t>
        </is>
      </c>
      <c r="F212" t="inlineStr">
        <is>
          <t>Partner</t>
        </is>
      </c>
      <c r="G212" t="inlineStr">
        <is>
          <t>Corporate</t>
        </is>
      </c>
      <c r="H212" t="inlineStr">
        <is>
          <t>Office Supplies</t>
        </is>
      </c>
      <c r="I212" t="inlineStr">
        <is>
          <t>Paper</t>
        </is>
      </c>
      <c r="J212" s="2" t="n">
        <v>3</v>
      </c>
      <c r="K212" s="3" t="n">
        <v>7.49</v>
      </c>
      <c r="L212" s="3" t="n">
        <v>22.47</v>
      </c>
      <c r="M212" s="3" t="n">
        <v>13.33</v>
      </c>
      <c r="N212" s="3" t="n">
        <v>9.140000000000001</v>
      </c>
    </row>
    <row r="213">
      <c r="A213" t="inlineStr">
        <is>
          <t>SO-2408-10211</t>
        </is>
      </c>
      <c r="B213" s="1" t="n">
        <v>45518</v>
      </c>
      <c r="C213" t="inlineStr">
        <is>
          <t>Northeast</t>
        </is>
      </c>
      <c r="D213" t="inlineStr">
        <is>
          <t>PA</t>
        </is>
      </c>
      <c r="E213" t="inlineStr">
        <is>
          <t>Philadelphia</t>
        </is>
      </c>
      <c r="F213" t="inlineStr">
        <is>
          <t>Online</t>
        </is>
      </c>
      <c r="G213" t="inlineStr">
        <is>
          <t>Small Business</t>
        </is>
      </c>
      <c r="H213" t="inlineStr">
        <is>
          <t>Technology</t>
        </is>
      </c>
      <c r="I213" t="inlineStr">
        <is>
          <t>Monitor</t>
        </is>
      </c>
      <c r="J213" s="2" t="n">
        <v>1</v>
      </c>
      <c r="K213" s="3" t="n">
        <v>186.08</v>
      </c>
      <c r="L213" s="3" t="n">
        <v>186.08</v>
      </c>
      <c r="M213" s="3" t="n">
        <v>122.05</v>
      </c>
      <c r="N213" s="3" t="n">
        <v>64.03</v>
      </c>
    </row>
    <row r="214">
      <c r="A214" t="inlineStr">
        <is>
          <t>SO-2410-10212</t>
        </is>
      </c>
      <c r="B214" s="1" t="n">
        <v>45568</v>
      </c>
      <c r="C214" t="inlineStr">
        <is>
          <t>West</t>
        </is>
      </c>
      <c r="D214" t="inlineStr">
        <is>
          <t>CO</t>
        </is>
      </c>
      <c r="E214" t="inlineStr">
        <is>
          <t>Denver</t>
        </is>
      </c>
      <c r="F214" t="inlineStr">
        <is>
          <t>In-Store</t>
        </is>
      </c>
      <c r="G214" t="inlineStr">
        <is>
          <t>Consumer</t>
        </is>
      </c>
      <c r="H214" t="inlineStr">
        <is>
          <t>Office Supplies</t>
        </is>
      </c>
      <c r="I214" t="inlineStr">
        <is>
          <t>Binders</t>
        </is>
      </c>
      <c r="J214" s="2" t="n">
        <v>5</v>
      </c>
      <c r="K214" s="3" t="n">
        <v>8.98</v>
      </c>
      <c r="L214" s="3" t="n">
        <v>44.9</v>
      </c>
      <c r="M214" s="3" t="n">
        <v>31.11</v>
      </c>
      <c r="N214" s="3" t="n">
        <v>13.79</v>
      </c>
    </row>
    <row r="215">
      <c r="A215" t="inlineStr">
        <is>
          <t>SO-2506-10213</t>
        </is>
      </c>
      <c r="B215" s="1" t="n">
        <v>45821</v>
      </c>
      <c r="C215" t="inlineStr">
        <is>
          <t>Midwest</t>
        </is>
      </c>
      <c r="D215" t="inlineStr">
        <is>
          <t>IL</t>
        </is>
      </c>
      <c r="E215" t="inlineStr">
        <is>
          <t>Chicago</t>
        </is>
      </c>
      <c r="F215" t="inlineStr">
        <is>
          <t>In-Store</t>
        </is>
      </c>
      <c r="G215" t="inlineStr">
        <is>
          <t>Corporate</t>
        </is>
      </c>
      <c r="H215" t="inlineStr">
        <is>
          <t>Office Supplies</t>
        </is>
      </c>
      <c r="I215" t="inlineStr">
        <is>
          <t>Pens</t>
        </is>
      </c>
      <c r="J215" s="2" t="n">
        <v>4</v>
      </c>
      <c r="K215" s="3" t="n">
        <v>4.56</v>
      </c>
      <c r="L215" s="3" t="n">
        <v>18.24</v>
      </c>
      <c r="M215" s="3" t="n">
        <v>11.69</v>
      </c>
      <c r="N215" s="3" t="n">
        <v>6.55</v>
      </c>
    </row>
    <row r="216">
      <c r="A216" t="inlineStr">
        <is>
          <t>SO-2511-10214</t>
        </is>
      </c>
      <c r="B216" s="1" t="n">
        <v>45976</v>
      </c>
      <c r="C216" t="inlineStr">
        <is>
          <t>Midwest</t>
        </is>
      </c>
      <c r="D216" t="inlineStr">
        <is>
          <t>IL</t>
        </is>
      </c>
      <c r="E216" t="inlineStr">
        <is>
          <t>Chicago</t>
        </is>
      </c>
      <c r="F216" t="inlineStr">
        <is>
          <t>In-Store</t>
        </is>
      </c>
      <c r="G216" t="inlineStr">
        <is>
          <t>Consumer</t>
        </is>
      </c>
      <c r="H216" t="inlineStr">
        <is>
          <t>Furniture</t>
        </is>
      </c>
      <c r="I216" t="inlineStr">
        <is>
          <t>Standing Desk</t>
        </is>
      </c>
      <c r="J216" s="2" t="n">
        <v>3</v>
      </c>
      <c r="K216" s="3" t="n">
        <v>344.03</v>
      </c>
      <c r="L216" s="3" t="n">
        <v>1032.09</v>
      </c>
      <c r="M216" s="3" t="n">
        <v>671.73</v>
      </c>
      <c r="N216" s="3" t="n">
        <v>360.36</v>
      </c>
    </row>
    <row r="217">
      <c r="A217" t="inlineStr">
        <is>
          <t>SO-2510-10215</t>
        </is>
      </c>
      <c r="B217" s="1" t="n">
        <v>45937</v>
      </c>
      <c r="C217" t="inlineStr">
        <is>
          <t>Northeast</t>
        </is>
      </c>
      <c r="D217" t="inlineStr">
        <is>
          <t>PA</t>
        </is>
      </c>
      <c r="E217" t="inlineStr">
        <is>
          <t>Philadelphia</t>
        </is>
      </c>
      <c r="F217" t="inlineStr">
        <is>
          <t>Partner</t>
        </is>
      </c>
      <c r="G217" t="inlineStr">
        <is>
          <t>Small Business</t>
        </is>
      </c>
      <c r="H217" t="inlineStr">
        <is>
          <t>Furniture</t>
        </is>
      </c>
      <c r="I217" t="inlineStr">
        <is>
          <t>Desk Chair</t>
        </is>
      </c>
      <c r="J217" s="2" t="n">
        <v>1</v>
      </c>
      <c r="K217" s="3" t="n">
        <v>139.3</v>
      </c>
      <c r="L217" s="3" t="n">
        <v>139.3</v>
      </c>
      <c r="M217" s="3" t="n">
        <v>92.05</v>
      </c>
      <c r="N217" s="3" t="n">
        <v>47.25</v>
      </c>
    </row>
    <row r="218">
      <c r="A218" t="inlineStr">
        <is>
          <t>SO-2508-10216</t>
        </is>
      </c>
      <c r="B218" s="1" t="n">
        <v>45877</v>
      </c>
      <c r="C218" t="inlineStr">
        <is>
          <t>Northeast</t>
        </is>
      </c>
      <c r="D218" t="inlineStr">
        <is>
          <t>NJ</t>
        </is>
      </c>
      <c r="E218" t="inlineStr">
        <is>
          <t>Newark</t>
        </is>
      </c>
      <c r="F218" t="inlineStr">
        <is>
          <t>Online</t>
        </is>
      </c>
      <c r="G218" t="inlineStr">
        <is>
          <t>Corporate</t>
        </is>
      </c>
      <c r="H218" t="inlineStr">
        <is>
          <t>Office Supplies</t>
        </is>
      </c>
      <c r="I218" t="inlineStr">
        <is>
          <t>Paper</t>
        </is>
      </c>
      <c r="J218" s="2" t="n">
        <v>1</v>
      </c>
      <c r="K218" s="3" t="n">
        <v>6.8</v>
      </c>
      <c r="L218" s="3" t="n">
        <v>6.8</v>
      </c>
      <c r="M218" s="3" t="n">
        <v>4.3</v>
      </c>
      <c r="N218" s="3" t="n">
        <v>2.5</v>
      </c>
    </row>
    <row r="219">
      <c r="A219" t="inlineStr">
        <is>
          <t>SO-2506-10217</t>
        </is>
      </c>
      <c r="B219" s="1" t="n">
        <v>45830</v>
      </c>
      <c r="C219" t="inlineStr">
        <is>
          <t>Midwest</t>
        </is>
      </c>
      <c r="D219" t="inlineStr">
        <is>
          <t>IL</t>
        </is>
      </c>
      <c r="E219" t="inlineStr">
        <is>
          <t>Chicago</t>
        </is>
      </c>
      <c r="F219" t="inlineStr">
        <is>
          <t>Partner</t>
        </is>
      </c>
      <c r="G219" t="inlineStr">
        <is>
          <t>Small Business</t>
        </is>
      </c>
      <c r="H219" t="inlineStr">
        <is>
          <t>Technology</t>
        </is>
      </c>
      <c r="I219" t="inlineStr">
        <is>
          <t>Laptop Stand</t>
        </is>
      </c>
      <c r="J219" s="2" t="n">
        <v>4</v>
      </c>
      <c r="K219" s="3" t="n">
        <v>31.72</v>
      </c>
      <c r="L219" s="3" t="n">
        <v>126.88</v>
      </c>
      <c r="M219" s="3" t="n">
        <v>84.18000000000001</v>
      </c>
      <c r="N219" s="3" t="n">
        <v>42.7</v>
      </c>
    </row>
    <row r="220">
      <c r="A220" t="inlineStr">
        <is>
          <t>SO-2503-10218</t>
        </is>
      </c>
      <c r="B220" s="1" t="n">
        <v>45738</v>
      </c>
      <c r="C220" t="inlineStr">
        <is>
          <t>West</t>
        </is>
      </c>
      <c r="D220" t="inlineStr">
        <is>
          <t>AZ</t>
        </is>
      </c>
      <c r="E220" t="inlineStr">
        <is>
          <t>Phoenix</t>
        </is>
      </c>
      <c r="F220" t="inlineStr">
        <is>
          <t>Partner</t>
        </is>
      </c>
      <c r="G220" t="inlineStr">
        <is>
          <t>Corporate</t>
        </is>
      </c>
      <c r="H220" t="inlineStr">
        <is>
          <t>Office Supplies</t>
        </is>
      </c>
      <c r="I220" t="inlineStr">
        <is>
          <t>Stapler</t>
        </is>
      </c>
      <c r="J220" s="2" t="n">
        <v>3</v>
      </c>
      <c r="K220" s="3" t="n">
        <v>12.52</v>
      </c>
      <c r="L220" s="3" t="n">
        <v>37.56</v>
      </c>
      <c r="M220" s="3" t="n">
        <v>22.35</v>
      </c>
      <c r="N220" s="3" t="n">
        <v>15.21</v>
      </c>
    </row>
    <row r="221">
      <c r="A221" t="inlineStr">
        <is>
          <t>SO-2503-10219</t>
        </is>
      </c>
      <c r="B221" s="1" t="n">
        <v>45728</v>
      </c>
      <c r="C221" t="inlineStr">
        <is>
          <t>Northeast</t>
        </is>
      </c>
      <c r="D221" t="inlineStr">
        <is>
          <t>NY</t>
        </is>
      </c>
      <c r="E221" t="inlineStr">
        <is>
          <t>New York</t>
        </is>
      </c>
      <c r="F221" t="inlineStr">
        <is>
          <t>Online</t>
        </is>
      </c>
      <c r="G221" t="inlineStr">
        <is>
          <t>Consumer</t>
        </is>
      </c>
      <c r="H221" t="inlineStr">
        <is>
          <t>Technology</t>
        </is>
      </c>
      <c r="I221" t="inlineStr">
        <is>
          <t>Monitor</t>
        </is>
      </c>
      <c r="J221" s="2" t="n">
        <v>4</v>
      </c>
      <c r="K221" s="3" t="n">
        <v>205.31</v>
      </c>
      <c r="L221" s="3" t="n">
        <v>821.24</v>
      </c>
      <c r="M221" s="3" t="n">
        <v>528.61</v>
      </c>
      <c r="N221" s="3" t="n">
        <v>292.63</v>
      </c>
    </row>
    <row r="222">
      <c r="A222" t="inlineStr">
        <is>
          <t>SO-2503-10220</t>
        </is>
      </c>
      <c r="B222" s="1" t="n">
        <v>45739</v>
      </c>
      <c r="C222" t="inlineStr">
        <is>
          <t>South</t>
        </is>
      </c>
      <c r="D222" t="inlineStr">
        <is>
          <t>FL</t>
        </is>
      </c>
      <c r="E222" t="inlineStr">
        <is>
          <t>Miami</t>
        </is>
      </c>
      <c r="F222" t="inlineStr">
        <is>
          <t>Partner</t>
        </is>
      </c>
      <c r="G222" t="inlineStr">
        <is>
          <t>Small Business</t>
        </is>
      </c>
      <c r="H222" t="inlineStr">
        <is>
          <t>Furniture</t>
        </is>
      </c>
      <c r="I222" t="inlineStr">
        <is>
          <t>Filing Cabinet</t>
        </is>
      </c>
      <c r="J222" s="2" t="n">
        <v>3</v>
      </c>
      <c r="K222" s="3" t="n">
        <v>150.38</v>
      </c>
      <c r="L222" s="3" t="n">
        <v>451.14</v>
      </c>
      <c r="M222" s="3" t="n">
        <v>309.21</v>
      </c>
      <c r="N222" s="3" t="n">
        <v>141.93</v>
      </c>
    </row>
    <row r="223">
      <c r="A223" t="inlineStr">
        <is>
          <t>SO-2403-10221</t>
        </is>
      </c>
      <c r="B223" s="1" t="n">
        <v>45361</v>
      </c>
      <c r="C223" t="inlineStr">
        <is>
          <t>West</t>
        </is>
      </c>
      <c r="D223" t="inlineStr">
        <is>
          <t>CO</t>
        </is>
      </c>
      <c r="E223" t="inlineStr">
        <is>
          <t>Denver</t>
        </is>
      </c>
      <c r="F223" t="inlineStr">
        <is>
          <t>Partner</t>
        </is>
      </c>
      <c r="G223" t="inlineStr">
        <is>
          <t>Consumer</t>
        </is>
      </c>
      <c r="H223" t="inlineStr">
        <is>
          <t>Technology</t>
        </is>
      </c>
      <c r="I223" t="inlineStr">
        <is>
          <t>Monitor</t>
        </is>
      </c>
      <c r="J223" s="2" t="n">
        <v>2</v>
      </c>
      <c r="K223" s="3" t="n">
        <v>155.19</v>
      </c>
      <c r="L223" s="3" t="n">
        <v>310.38</v>
      </c>
      <c r="M223" s="3" t="n">
        <v>211.54</v>
      </c>
      <c r="N223" s="3" t="n">
        <v>98.84</v>
      </c>
    </row>
    <row r="224">
      <c r="A224" t="inlineStr">
        <is>
          <t>SO-2503-10222</t>
        </is>
      </c>
      <c r="B224" s="1" t="n">
        <v>45723</v>
      </c>
      <c r="C224" t="inlineStr">
        <is>
          <t>South</t>
        </is>
      </c>
      <c r="D224" t="inlineStr">
        <is>
          <t>TN</t>
        </is>
      </c>
      <c r="E224" t="inlineStr">
        <is>
          <t>Nashville</t>
        </is>
      </c>
      <c r="F224" t="inlineStr">
        <is>
          <t>In-Store</t>
        </is>
      </c>
      <c r="G224" t="inlineStr">
        <is>
          <t>Corporate</t>
        </is>
      </c>
      <c r="H224" t="inlineStr">
        <is>
          <t>Technology</t>
        </is>
      </c>
      <c r="I224" t="inlineStr">
        <is>
          <t>Laptop Stand</t>
        </is>
      </c>
      <c r="J224" s="2" t="n">
        <v>3</v>
      </c>
      <c r="K224" s="3" t="n">
        <v>31.33</v>
      </c>
      <c r="L224" s="3" t="n">
        <v>93.98999999999999</v>
      </c>
      <c r="M224" s="3" t="n">
        <v>59</v>
      </c>
      <c r="N224" s="3" t="n">
        <v>34.99</v>
      </c>
    </row>
    <row r="225">
      <c r="A225" t="inlineStr">
        <is>
          <t>SO-2506-10223</t>
        </is>
      </c>
      <c r="B225" s="1" t="n">
        <v>45816</v>
      </c>
      <c r="C225" t="inlineStr">
        <is>
          <t>West</t>
        </is>
      </c>
      <c r="D225" t="inlineStr">
        <is>
          <t>AZ</t>
        </is>
      </c>
      <c r="E225" t="inlineStr">
        <is>
          <t>Phoenix</t>
        </is>
      </c>
      <c r="F225" t="inlineStr">
        <is>
          <t>Online</t>
        </is>
      </c>
      <c r="G225" t="inlineStr">
        <is>
          <t>Consumer</t>
        </is>
      </c>
      <c r="H225" t="inlineStr">
        <is>
          <t>Furniture</t>
        </is>
      </c>
      <c r="I225" t="inlineStr">
        <is>
          <t>Desk Chair</t>
        </is>
      </c>
      <c r="J225" s="2" t="n">
        <v>5</v>
      </c>
      <c r="K225" s="3" t="n">
        <v>117.15</v>
      </c>
      <c r="L225" s="3" t="n">
        <v>585.75</v>
      </c>
      <c r="M225" s="3" t="n">
        <v>421.99</v>
      </c>
      <c r="N225" s="3" t="n">
        <v>163.76</v>
      </c>
    </row>
    <row r="226">
      <c r="A226" t="inlineStr">
        <is>
          <t>SO-2407-10224</t>
        </is>
      </c>
      <c r="B226" s="1" t="n">
        <v>45484</v>
      </c>
      <c r="C226" t="inlineStr">
        <is>
          <t>Midwest</t>
        </is>
      </c>
      <c r="D226" t="inlineStr">
        <is>
          <t>MI</t>
        </is>
      </c>
      <c r="E226" t="inlineStr">
        <is>
          <t>Detroit</t>
        </is>
      </c>
      <c r="F226" t="inlineStr">
        <is>
          <t>In-Store</t>
        </is>
      </c>
      <c r="G226" t="inlineStr">
        <is>
          <t>Consumer</t>
        </is>
      </c>
      <c r="H226" t="inlineStr">
        <is>
          <t>Furniture</t>
        </is>
      </c>
      <c r="I226" t="inlineStr">
        <is>
          <t>Filing Cabinet</t>
        </is>
      </c>
      <c r="J226" s="2" t="n">
        <v>4</v>
      </c>
      <c r="K226" s="3" t="n">
        <v>166.28</v>
      </c>
      <c r="L226" s="3" t="n">
        <v>665.12</v>
      </c>
      <c r="M226" s="3" t="n">
        <v>409.26</v>
      </c>
      <c r="N226" s="3" t="n">
        <v>255.86</v>
      </c>
    </row>
    <row r="227">
      <c r="A227" t="inlineStr">
        <is>
          <t>SO-2507-10225</t>
        </is>
      </c>
      <c r="B227" s="1" t="n">
        <v>45858</v>
      </c>
      <c r="C227" t="inlineStr">
        <is>
          <t>South</t>
        </is>
      </c>
      <c r="D227" t="inlineStr">
        <is>
          <t>GA</t>
        </is>
      </c>
      <c r="E227" t="inlineStr">
        <is>
          <t>Atlanta</t>
        </is>
      </c>
      <c r="F227" t="inlineStr">
        <is>
          <t>Online</t>
        </is>
      </c>
      <c r="G227" t="inlineStr">
        <is>
          <t>Corporate</t>
        </is>
      </c>
      <c r="H227" t="inlineStr">
        <is>
          <t>Technology</t>
        </is>
      </c>
      <c r="I227" t="inlineStr">
        <is>
          <t>Mouse</t>
        </is>
      </c>
      <c r="J227" s="2" t="n">
        <v>1</v>
      </c>
      <c r="K227" s="3" t="n">
        <v>21.14</v>
      </c>
      <c r="L227" s="3" t="n">
        <v>21.14</v>
      </c>
      <c r="M227" s="3" t="n">
        <v>12.69</v>
      </c>
      <c r="N227" s="3" t="n">
        <v>8.449999999999999</v>
      </c>
    </row>
    <row r="228">
      <c r="A228" t="inlineStr">
        <is>
          <t>SO-2409-10226</t>
        </is>
      </c>
      <c r="B228" s="1" t="n">
        <v>45564</v>
      </c>
      <c r="C228" t="inlineStr">
        <is>
          <t>West</t>
        </is>
      </c>
      <c r="D228" t="inlineStr">
        <is>
          <t>CA</t>
        </is>
      </c>
      <c r="E228" t="inlineStr">
        <is>
          <t>Los Angeles</t>
        </is>
      </c>
      <c r="F228" t="inlineStr">
        <is>
          <t>Partner</t>
        </is>
      </c>
      <c r="G228" t="inlineStr">
        <is>
          <t>Small Business</t>
        </is>
      </c>
      <c r="H228" t="inlineStr">
        <is>
          <t>Furniture</t>
        </is>
      </c>
      <c r="I228" t="inlineStr">
        <is>
          <t>Desk Chair</t>
        </is>
      </c>
      <c r="J228" s="2" t="n">
        <v>2</v>
      </c>
      <c r="K228" s="3" t="n">
        <v>136.55</v>
      </c>
      <c r="L228" s="3" t="n">
        <v>273.1</v>
      </c>
      <c r="M228" s="3" t="n">
        <v>184.08</v>
      </c>
      <c r="N228" s="3" t="n">
        <v>89.02</v>
      </c>
    </row>
    <row r="229">
      <c r="A229" t="inlineStr">
        <is>
          <t>SO-2403-10227</t>
        </is>
      </c>
      <c r="B229" s="1" t="n">
        <v>45369</v>
      </c>
      <c r="C229" t="inlineStr">
        <is>
          <t>Northeast</t>
        </is>
      </c>
      <c r="D229" t="inlineStr">
        <is>
          <t>MA</t>
        </is>
      </c>
      <c r="E229" t="inlineStr">
        <is>
          <t>Boston</t>
        </is>
      </c>
      <c r="F229" t="inlineStr">
        <is>
          <t>Online</t>
        </is>
      </c>
      <c r="G229" t="inlineStr">
        <is>
          <t>Small Business</t>
        </is>
      </c>
      <c r="H229" t="inlineStr">
        <is>
          <t>Technology</t>
        </is>
      </c>
      <c r="I229" t="inlineStr">
        <is>
          <t>Mouse</t>
        </is>
      </c>
      <c r="J229" s="2" t="n">
        <v>2</v>
      </c>
      <c r="K229" s="3" t="n">
        <v>17.86</v>
      </c>
      <c r="L229" s="3" t="n">
        <v>35.72</v>
      </c>
      <c r="M229" s="3" t="n">
        <v>24.71</v>
      </c>
      <c r="N229" s="3" t="n">
        <v>11.01</v>
      </c>
    </row>
    <row r="230">
      <c r="A230" t="inlineStr">
        <is>
          <t>SO-2411-10228</t>
        </is>
      </c>
      <c r="B230" s="1" t="n">
        <v>45622</v>
      </c>
      <c r="C230" t="inlineStr">
        <is>
          <t>West</t>
        </is>
      </c>
      <c r="D230" t="inlineStr">
        <is>
          <t>CO</t>
        </is>
      </c>
      <c r="E230" t="inlineStr">
        <is>
          <t>Denver</t>
        </is>
      </c>
      <c r="F230" t="inlineStr">
        <is>
          <t>Online</t>
        </is>
      </c>
      <c r="G230" t="inlineStr">
        <is>
          <t>Small Business</t>
        </is>
      </c>
      <c r="H230" t="inlineStr">
        <is>
          <t>Furniture</t>
        </is>
      </c>
      <c r="I230" t="inlineStr">
        <is>
          <t>Filing Cabinet</t>
        </is>
      </c>
      <c r="J230" s="2" t="n">
        <v>4</v>
      </c>
      <c r="K230" s="3" t="n">
        <v>174.71</v>
      </c>
      <c r="L230" s="3" t="n">
        <v>698.84</v>
      </c>
      <c r="M230" s="3" t="n">
        <v>496.87</v>
      </c>
      <c r="N230" s="3" t="n">
        <v>201.97</v>
      </c>
    </row>
    <row r="231">
      <c r="A231" t="inlineStr">
        <is>
          <t>SO-2403-10229</t>
        </is>
      </c>
      <c r="B231" s="1" t="n">
        <v>45356</v>
      </c>
      <c r="C231" t="inlineStr">
        <is>
          <t>Northeast</t>
        </is>
      </c>
      <c r="D231" t="inlineStr">
        <is>
          <t>PA</t>
        </is>
      </c>
      <c r="E231" t="inlineStr">
        <is>
          <t>Philadelphia</t>
        </is>
      </c>
      <c r="F231" t="inlineStr">
        <is>
          <t>In-Store</t>
        </is>
      </c>
      <c r="G231" t="inlineStr">
        <is>
          <t>Consumer</t>
        </is>
      </c>
      <c r="H231" t="inlineStr">
        <is>
          <t>Technology</t>
        </is>
      </c>
      <c r="I231" t="inlineStr">
        <is>
          <t>Keyboard</t>
        </is>
      </c>
      <c r="J231" s="2" t="n">
        <v>1</v>
      </c>
      <c r="K231" s="3" t="n">
        <v>34.39</v>
      </c>
      <c r="L231" s="3" t="n">
        <v>34.39</v>
      </c>
      <c r="M231" s="3" t="n">
        <v>25.95</v>
      </c>
      <c r="N231" s="3" t="n">
        <v>8.44</v>
      </c>
    </row>
    <row r="232">
      <c r="A232" t="inlineStr">
        <is>
          <t>SO-2402-10230</t>
        </is>
      </c>
      <c r="B232" s="1" t="n">
        <v>45347</v>
      </c>
      <c r="C232" t="inlineStr">
        <is>
          <t>West</t>
        </is>
      </c>
      <c r="D232" t="inlineStr">
        <is>
          <t>CO</t>
        </is>
      </c>
      <c r="E232" t="inlineStr">
        <is>
          <t>Denver</t>
        </is>
      </c>
      <c r="F232" t="inlineStr">
        <is>
          <t>Partner</t>
        </is>
      </c>
      <c r="G232" t="inlineStr">
        <is>
          <t>Consumer</t>
        </is>
      </c>
      <c r="H232" t="inlineStr">
        <is>
          <t>Office Supplies</t>
        </is>
      </c>
      <c r="I232" t="inlineStr">
        <is>
          <t>Paper</t>
        </is>
      </c>
      <c r="J232" s="2" t="n">
        <v>6</v>
      </c>
      <c r="K232" s="3" t="n">
        <v>6.4</v>
      </c>
      <c r="L232" s="3" t="n">
        <v>38.4</v>
      </c>
      <c r="M232" s="3" t="n">
        <v>23.4</v>
      </c>
      <c r="N232" s="3" t="n">
        <v>15</v>
      </c>
    </row>
    <row r="233">
      <c r="A233" t="inlineStr">
        <is>
          <t>SO-2504-10231</t>
        </is>
      </c>
      <c r="B233" s="1" t="n">
        <v>45758</v>
      </c>
      <c r="C233" t="inlineStr">
        <is>
          <t>Northeast</t>
        </is>
      </c>
      <c r="D233" t="inlineStr">
        <is>
          <t>MA</t>
        </is>
      </c>
      <c r="E233" t="inlineStr">
        <is>
          <t>Boston</t>
        </is>
      </c>
      <c r="F233" t="inlineStr">
        <is>
          <t>In-Store</t>
        </is>
      </c>
      <c r="G233" t="inlineStr">
        <is>
          <t>Corporate</t>
        </is>
      </c>
      <c r="H233" t="inlineStr">
        <is>
          <t>Office Supplies</t>
        </is>
      </c>
      <c r="I233" t="inlineStr">
        <is>
          <t>Pens</t>
        </is>
      </c>
      <c r="J233" s="2" t="n">
        <v>5</v>
      </c>
      <c r="K233" s="3" t="n">
        <v>5.07</v>
      </c>
      <c r="L233" s="3" t="n">
        <v>25.35</v>
      </c>
      <c r="M233" s="3" t="n">
        <v>17.19</v>
      </c>
      <c r="N233" s="3" t="n">
        <v>8.16</v>
      </c>
    </row>
    <row r="234">
      <c r="A234" t="inlineStr">
        <is>
          <t>SO-2502-10232</t>
        </is>
      </c>
      <c r="B234" s="1" t="n">
        <v>45700</v>
      </c>
      <c r="C234" t="inlineStr">
        <is>
          <t>Midwest</t>
        </is>
      </c>
      <c r="D234" t="inlineStr">
        <is>
          <t>MN</t>
        </is>
      </c>
      <c r="E234" t="inlineStr">
        <is>
          <t>Minneapolis</t>
        </is>
      </c>
      <c r="F234" t="inlineStr">
        <is>
          <t>Partner</t>
        </is>
      </c>
      <c r="G234" t="inlineStr">
        <is>
          <t>Corporate</t>
        </is>
      </c>
      <c r="H234" t="inlineStr">
        <is>
          <t>Office Supplies</t>
        </is>
      </c>
      <c r="I234" t="inlineStr">
        <is>
          <t>Pens</t>
        </is>
      </c>
      <c r="J234" s="2" t="n">
        <v>3</v>
      </c>
      <c r="K234" s="3" t="n">
        <v>4.73</v>
      </c>
      <c r="L234" s="3" t="n">
        <v>14.19</v>
      </c>
      <c r="M234" s="3" t="n">
        <v>9.24</v>
      </c>
      <c r="N234" s="3" t="n">
        <v>4.95</v>
      </c>
    </row>
    <row r="235">
      <c r="A235" t="inlineStr">
        <is>
          <t>SO-2502-10233</t>
        </is>
      </c>
      <c r="B235" s="1" t="n">
        <v>45697</v>
      </c>
      <c r="C235" t="inlineStr">
        <is>
          <t>South</t>
        </is>
      </c>
      <c r="D235" t="inlineStr">
        <is>
          <t>AL</t>
        </is>
      </c>
      <c r="E235" t="inlineStr">
        <is>
          <t>Birmingham</t>
        </is>
      </c>
      <c r="F235" t="inlineStr">
        <is>
          <t>Partner</t>
        </is>
      </c>
      <c r="G235" t="inlineStr">
        <is>
          <t>Corporate</t>
        </is>
      </c>
      <c r="H235" t="inlineStr">
        <is>
          <t>Office Supplies</t>
        </is>
      </c>
      <c r="I235" t="inlineStr">
        <is>
          <t>Pens</t>
        </is>
      </c>
      <c r="J235" s="2" t="n">
        <v>4</v>
      </c>
      <c r="K235" s="3" t="n">
        <v>4.05</v>
      </c>
      <c r="L235" s="3" t="n">
        <v>16.2</v>
      </c>
      <c r="M235" s="3" t="n">
        <v>9.83</v>
      </c>
      <c r="N235" s="3" t="n">
        <v>6.37</v>
      </c>
    </row>
    <row r="236">
      <c r="A236" t="inlineStr">
        <is>
          <t>SO-2412-10234</t>
        </is>
      </c>
      <c r="B236" s="1" t="n">
        <v>45651</v>
      </c>
      <c r="C236" t="inlineStr">
        <is>
          <t>South</t>
        </is>
      </c>
      <c r="D236" t="inlineStr">
        <is>
          <t>FL</t>
        </is>
      </c>
      <c r="E236" t="inlineStr">
        <is>
          <t>Miami</t>
        </is>
      </c>
      <c r="F236" t="inlineStr">
        <is>
          <t>Partner</t>
        </is>
      </c>
      <c r="G236" t="inlineStr">
        <is>
          <t>Consumer</t>
        </is>
      </c>
      <c r="H236" t="inlineStr">
        <is>
          <t>Furniture</t>
        </is>
      </c>
      <c r="I236" t="inlineStr">
        <is>
          <t>Filing Cabinet</t>
        </is>
      </c>
      <c r="J236" s="2" t="n">
        <v>4</v>
      </c>
      <c r="K236" s="3" t="n">
        <v>152.11</v>
      </c>
      <c r="L236" s="3" t="n">
        <v>608.4400000000001</v>
      </c>
      <c r="M236" s="3" t="n">
        <v>396.57</v>
      </c>
      <c r="N236" s="3" t="n">
        <v>211.87</v>
      </c>
    </row>
    <row r="237">
      <c r="A237" t="inlineStr">
        <is>
          <t>SO-2406-10235</t>
        </is>
      </c>
      <c r="B237" s="1" t="n">
        <v>45451</v>
      </c>
      <c r="C237" t="inlineStr">
        <is>
          <t>West</t>
        </is>
      </c>
      <c r="D237" t="inlineStr">
        <is>
          <t>WA</t>
        </is>
      </c>
      <c r="E237" t="inlineStr">
        <is>
          <t>Seattle</t>
        </is>
      </c>
      <c r="F237" t="inlineStr">
        <is>
          <t>Online</t>
        </is>
      </c>
      <c r="G237" t="inlineStr">
        <is>
          <t>Small Business</t>
        </is>
      </c>
      <c r="H237" t="inlineStr">
        <is>
          <t>Technology</t>
        </is>
      </c>
      <c r="I237" t="inlineStr">
        <is>
          <t>Monitor</t>
        </is>
      </c>
      <c r="J237" s="2" t="n">
        <v>3</v>
      </c>
      <c r="K237" s="3" t="n">
        <v>171.59</v>
      </c>
      <c r="L237" s="3" t="n">
        <v>514.77</v>
      </c>
      <c r="M237" s="3" t="n">
        <v>334.73</v>
      </c>
      <c r="N237" s="3" t="n">
        <v>180.04</v>
      </c>
    </row>
    <row r="238">
      <c r="A238" t="inlineStr">
        <is>
          <t>SO-2409-10236</t>
        </is>
      </c>
      <c r="B238" s="1" t="n">
        <v>45537</v>
      </c>
      <c r="C238" t="inlineStr">
        <is>
          <t>Northeast</t>
        </is>
      </c>
      <c r="D238" t="inlineStr">
        <is>
          <t>NY</t>
        </is>
      </c>
      <c r="E238" t="inlineStr">
        <is>
          <t>New York</t>
        </is>
      </c>
      <c r="F238" t="inlineStr">
        <is>
          <t>Online</t>
        </is>
      </c>
      <c r="G238" t="inlineStr">
        <is>
          <t>Corporate</t>
        </is>
      </c>
      <c r="H238" t="inlineStr">
        <is>
          <t>Office Supplies</t>
        </is>
      </c>
      <c r="I238" t="inlineStr">
        <is>
          <t>Binders</t>
        </is>
      </c>
      <c r="J238" s="2" t="n">
        <v>2</v>
      </c>
      <c r="K238" s="3" t="n">
        <v>10.12</v>
      </c>
      <c r="L238" s="3" t="n">
        <v>20.24</v>
      </c>
      <c r="M238" s="3" t="n">
        <v>13.52</v>
      </c>
      <c r="N238" s="3" t="n">
        <v>6.72</v>
      </c>
    </row>
    <row r="239">
      <c r="A239" t="inlineStr">
        <is>
          <t>SO-2505-10237</t>
        </is>
      </c>
      <c r="B239" s="1" t="n">
        <v>45808</v>
      </c>
      <c r="C239" t="inlineStr">
        <is>
          <t>Midwest</t>
        </is>
      </c>
      <c r="D239" t="inlineStr">
        <is>
          <t>OH</t>
        </is>
      </c>
      <c r="E239" t="inlineStr">
        <is>
          <t>Columbus</t>
        </is>
      </c>
      <c r="F239" t="inlineStr">
        <is>
          <t>Online</t>
        </is>
      </c>
      <c r="G239" t="inlineStr">
        <is>
          <t>Consumer</t>
        </is>
      </c>
      <c r="H239" t="inlineStr">
        <is>
          <t>Furniture</t>
        </is>
      </c>
      <c r="I239" t="inlineStr">
        <is>
          <t>Filing Cabinet</t>
        </is>
      </c>
      <c r="J239" s="2" t="n">
        <v>3</v>
      </c>
      <c r="K239" s="3" t="n">
        <v>154.08</v>
      </c>
      <c r="L239" s="3" t="n">
        <v>462.24</v>
      </c>
      <c r="M239" s="3" t="n">
        <v>342.82</v>
      </c>
      <c r="N239" s="3" t="n">
        <v>119.42</v>
      </c>
    </row>
    <row r="240">
      <c r="A240" t="inlineStr">
        <is>
          <t>SO-2502-10238</t>
        </is>
      </c>
      <c r="B240" s="1" t="n">
        <v>45705</v>
      </c>
      <c r="C240" t="inlineStr">
        <is>
          <t>West</t>
        </is>
      </c>
      <c r="D240" t="inlineStr">
        <is>
          <t>WA</t>
        </is>
      </c>
      <c r="E240" t="inlineStr">
        <is>
          <t>Seattle</t>
        </is>
      </c>
      <c r="F240" t="inlineStr">
        <is>
          <t>Partner</t>
        </is>
      </c>
      <c r="G240" t="inlineStr">
        <is>
          <t>Small Business</t>
        </is>
      </c>
      <c r="H240" t="inlineStr">
        <is>
          <t>Furniture</t>
        </is>
      </c>
      <c r="I240" t="inlineStr">
        <is>
          <t>Bookshelf</t>
        </is>
      </c>
      <c r="J240" s="2" t="n">
        <v>4</v>
      </c>
      <c r="K240" s="3" t="n">
        <v>92.58</v>
      </c>
      <c r="L240" s="3" t="n">
        <v>370.32</v>
      </c>
      <c r="M240" s="3" t="n">
        <v>248.44</v>
      </c>
      <c r="N240" s="3" t="n">
        <v>121.88</v>
      </c>
    </row>
    <row r="241">
      <c r="A241" t="inlineStr">
        <is>
          <t>SO-2511-10239</t>
        </is>
      </c>
      <c r="B241" s="1" t="n">
        <v>45965</v>
      </c>
      <c r="C241" t="inlineStr">
        <is>
          <t>Northeast</t>
        </is>
      </c>
      <c r="D241" t="inlineStr">
        <is>
          <t>MA</t>
        </is>
      </c>
      <c r="E241" t="inlineStr">
        <is>
          <t>Boston</t>
        </is>
      </c>
      <c r="F241" t="inlineStr">
        <is>
          <t>Partner</t>
        </is>
      </c>
      <c r="G241" t="inlineStr">
        <is>
          <t>Small Business</t>
        </is>
      </c>
      <c r="H241" t="inlineStr">
        <is>
          <t>Office Supplies</t>
        </is>
      </c>
      <c r="I241" t="inlineStr">
        <is>
          <t>Paper</t>
        </is>
      </c>
      <c r="J241" s="2" t="n">
        <v>4</v>
      </c>
      <c r="K241" s="3" t="n">
        <v>7.08</v>
      </c>
      <c r="L241" s="3" t="n">
        <v>28.32</v>
      </c>
      <c r="M241" s="3" t="n">
        <v>16.72</v>
      </c>
      <c r="N241" s="3" t="n">
        <v>11.6</v>
      </c>
    </row>
    <row r="242">
      <c r="A242" t="inlineStr">
        <is>
          <t>SO-2407-10240</t>
        </is>
      </c>
      <c r="B242" s="1" t="n">
        <v>45484</v>
      </c>
      <c r="C242" t="inlineStr">
        <is>
          <t>Northeast</t>
        </is>
      </c>
      <c r="D242" t="inlineStr">
        <is>
          <t>PA</t>
        </is>
      </c>
      <c r="E242" t="inlineStr">
        <is>
          <t>Philadelphia</t>
        </is>
      </c>
      <c r="F242" t="inlineStr">
        <is>
          <t>Partner</t>
        </is>
      </c>
      <c r="G242" t="inlineStr">
        <is>
          <t>Consumer</t>
        </is>
      </c>
      <c r="H242" t="inlineStr">
        <is>
          <t>Office Supplies</t>
        </is>
      </c>
      <c r="I242" t="inlineStr">
        <is>
          <t>Stapler</t>
        </is>
      </c>
      <c r="J242" s="2" t="n">
        <v>4</v>
      </c>
      <c r="K242" s="3" t="n">
        <v>13.81</v>
      </c>
      <c r="L242" s="3" t="n">
        <v>55.24</v>
      </c>
      <c r="M242" s="3" t="n">
        <v>36.14</v>
      </c>
      <c r="N242" s="3" t="n">
        <v>19.1</v>
      </c>
    </row>
    <row r="243">
      <c r="A243" t="inlineStr">
        <is>
          <t>SO-2502-10241</t>
        </is>
      </c>
      <c r="B243" s="1" t="n">
        <v>45700</v>
      </c>
      <c r="C243" t="inlineStr">
        <is>
          <t>South</t>
        </is>
      </c>
      <c r="D243" t="inlineStr">
        <is>
          <t>FL</t>
        </is>
      </c>
      <c r="E243" t="inlineStr">
        <is>
          <t>Miami</t>
        </is>
      </c>
      <c r="F243" t="inlineStr">
        <is>
          <t>In-Store</t>
        </is>
      </c>
      <c r="G243" t="inlineStr">
        <is>
          <t>Corporate</t>
        </is>
      </c>
      <c r="H243" t="inlineStr">
        <is>
          <t>Furniture</t>
        </is>
      </c>
      <c r="I243" t="inlineStr">
        <is>
          <t>Bookshelf</t>
        </is>
      </c>
      <c r="J243" s="2" t="n">
        <v>2</v>
      </c>
      <c r="K243" s="3" t="n">
        <v>81.7</v>
      </c>
      <c r="L243" s="3" t="n">
        <v>163.4</v>
      </c>
      <c r="M243" s="3" t="n">
        <v>102.79</v>
      </c>
      <c r="N243" s="3" t="n">
        <v>60.61</v>
      </c>
    </row>
    <row r="244">
      <c r="A244" t="inlineStr">
        <is>
          <t>SO-2512-10242</t>
        </is>
      </c>
      <c r="B244" s="1" t="n">
        <v>45999</v>
      </c>
      <c r="C244" t="inlineStr">
        <is>
          <t>West</t>
        </is>
      </c>
      <c r="D244" t="inlineStr">
        <is>
          <t>CO</t>
        </is>
      </c>
      <c r="E244" t="inlineStr">
        <is>
          <t>Denver</t>
        </is>
      </c>
      <c r="F244" t="inlineStr">
        <is>
          <t>In-Store</t>
        </is>
      </c>
      <c r="G244" t="inlineStr">
        <is>
          <t>Corporate</t>
        </is>
      </c>
      <c r="H244" t="inlineStr">
        <is>
          <t>Furniture</t>
        </is>
      </c>
      <c r="I244" t="inlineStr">
        <is>
          <t>Standing Desk</t>
        </is>
      </c>
      <c r="J244" s="2" t="n">
        <v>5</v>
      </c>
      <c r="K244" s="3" t="n">
        <v>339.3</v>
      </c>
      <c r="L244" s="3" t="n">
        <v>1696.5</v>
      </c>
      <c r="M244" s="3" t="n">
        <v>1214.52</v>
      </c>
      <c r="N244" s="3" t="n">
        <v>481.98</v>
      </c>
    </row>
    <row r="245">
      <c r="A245" t="inlineStr">
        <is>
          <t>SO-2509-10243</t>
        </is>
      </c>
      <c r="B245" s="1" t="n">
        <v>45915</v>
      </c>
      <c r="C245" t="inlineStr">
        <is>
          <t>South</t>
        </is>
      </c>
      <c r="D245" t="inlineStr">
        <is>
          <t>TN</t>
        </is>
      </c>
      <c r="E245" t="inlineStr">
        <is>
          <t>Nashville</t>
        </is>
      </c>
      <c r="F245" t="inlineStr">
        <is>
          <t>Partner</t>
        </is>
      </c>
      <c r="G245" t="inlineStr">
        <is>
          <t>Consumer</t>
        </is>
      </c>
      <c r="H245" t="inlineStr">
        <is>
          <t>Office Supplies</t>
        </is>
      </c>
      <c r="I245" t="inlineStr">
        <is>
          <t>Stapler</t>
        </is>
      </c>
      <c r="J245" s="2" t="n">
        <v>1</v>
      </c>
      <c r="K245" s="3" t="n">
        <v>12.41</v>
      </c>
      <c r="L245" s="3" t="n">
        <v>12.41</v>
      </c>
      <c r="M245" s="3" t="n">
        <v>8</v>
      </c>
      <c r="N245" s="3" t="n">
        <v>4.41</v>
      </c>
    </row>
    <row r="246">
      <c r="A246" t="inlineStr">
        <is>
          <t>SO-2507-10244</t>
        </is>
      </c>
      <c r="B246" s="1" t="n">
        <v>45857</v>
      </c>
      <c r="C246" t="inlineStr">
        <is>
          <t>South</t>
        </is>
      </c>
      <c r="D246" t="inlineStr">
        <is>
          <t>TN</t>
        </is>
      </c>
      <c r="E246" t="inlineStr">
        <is>
          <t>Nashville</t>
        </is>
      </c>
      <c r="F246" t="inlineStr">
        <is>
          <t>In-Store</t>
        </is>
      </c>
      <c r="G246" t="inlineStr">
        <is>
          <t>Small Business</t>
        </is>
      </c>
      <c r="H246" t="inlineStr">
        <is>
          <t>Office Supplies</t>
        </is>
      </c>
      <c r="I246" t="inlineStr">
        <is>
          <t>Pens</t>
        </is>
      </c>
      <c r="J246" s="2" t="n">
        <v>4</v>
      </c>
      <c r="K246" s="3" t="n">
        <v>4.4</v>
      </c>
      <c r="L246" s="3" t="n">
        <v>17.6</v>
      </c>
      <c r="M246" s="3" t="n">
        <v>11.68</v>
      </c>
      <c r="N246" s="3" t="n">
        <v>5.92</v>
      </c>
    </row>
    <row r="247">
      <c r="A247" t="inlineStr">
        <is>
          <t>SO-2412-10245</t>
        </is>
      </c>
      <c r="B247" s="1" t="n">
        <v>45649</v>
      </c>
      <c r="C247" t="inlineStr">
        <is>
          <t>Northeast</t>
        </is>
      </c>
      <c r="D247" t="inlineStr">
        <is>
          <t>MA</t>
        </is>
      </c>
      <c r="E247" t="inlineStr">
        <is>
          <t>Boston</t>
        </is>
      </c>
      <c r="F247" t="inlineStr">
        <is>
          <t>Online</t>
        </is>
      </c>
      <c r="G247" t="inlineStr">
        <is>
          <t>Consumer</t>
        </is>
      </c>
      <c r="H247" t="inlineStr">
        <is>
          <t>Furniture</t>
        </is>
      </c>
      <c r="I247" t="inlineStr">
        <is>
          <t>Filing Cabinet</t>
        </is>
      </c>
      <c r="J247" s="2" t="n">
        <v>3</v>
      </c>
      <c r="K247" s="3" t="n">
        <v>170.39</v>
      </c>
      <c r="L247" s="3" t="n">
        <v>511.17</v>
      </c>
      <c r="M247" s="3" t="n">
        <v>355.95</v>
      </c>
      <c r="N247" s="3" t="n">
        <v>155.22</v>
      </c>
    </row>
    <row r="248">
      <c r="A248" t="inlineStr">
        <is>
          <t>SO-2412-10246</t>
        </is>
      </c>
      <c r="B248" s="1" t="n">
        <v>45645</v>
      </c>
      <c r="C248" t="inlineStr">
        <is>
          <t>Midwest</t>
        </is>
      </c>
      <c r="D248" t="inlineStr">
        <is>
          <t>IL</t>
        </is>
      </c>
      <c r="E248" t="inlineStr">
        <is>
          <t>Chicago</t>
        </is>
      </c>
      <c r="F248" t="inlineStr">
        <is>
          <t>Partner</t>
        </is>
      </c>
      <c r="G248" t="inlineStr">
        <is>
          <t>Consumer</t>
        </is>
      </c>
      <c r="H248" t="inlineStr">
        <is>
          <t>Furniture</t>
        </is>
      </c>
      <c r="I248" t="inlineStr">
        <is>
          <t>Desk Chair</t>
        </is>
      </c>
      <c r="J248" s="2" t="n">
        <v>1</v>
      </c>
      <c r="K248" s="3" t="n">
        <v>148.48</v>
      </c>
      <c r="L248" s="3" t="n">
        <v>148.48</v>
      </c>
      <c r="M248" s="3" t="n">
        <v>94.16</v>
      </c>
      <c r="N248" s="3" t="n">
        <v>54.32</v>
      </c>
    </row>
    <row r="249">
      <c r="A249" t="inlineStr">
        <is>
          <t>SO-2412-10247</t>
        </is>
      </c>
      <c r="B249" s="1" t="n">
        <v>45640</v>
      </c>
      <c r="C249" t="inlineStr">
        <is>
          <t>West</t>
        </is>
      </c>
      <c r="D249" t="inlineStr">
        <is>
          <t>CO</t>
        </is>
      </c>
      <c r="E249" t="inlineStr">
        <is>
          <t>Denver</t>
        </is>
      </c>
      <c r="F249" t="inlineStr">
        <is>
          <t>Partner</t>
        </is>
      </c>
      <c r="G249" t="inlineStr">
        <is>
          <t>Small Business</t>
        </is>
      </c>
      <c r="H249" t="inlineStr">
        <is>
          <t>Furniture</t>
        </is>
      </c>
      <c r="I249" t="inlineStr">
        <is>
          <t>Standing Desk</t>
        </is>
      </c>
      <c r="J249" s="2" t="n">
        <v>4</v>
      </c>
      <c r="K249" s="3" t="n">
        <v>280.3</v>
      </c>
      <c r="L249" s="3" t="n">
        <v>1121.2</v>
      </c>
      <c r="M249" s="3" t="n">
        <v>731.11</v>
      </c>
      <c r="N249" s="3" t="n">
        <v>390.09</v>
      </c>
    </row>
    <row r="250">
      <c r="A250" t="inlineStr">
        <is>
          <t>SO-2407-10248</t>
        </is>
      </c>
      <c r="B250" s="1" t="n">
        <v>45485</v>
      </c>
      <c r="C250" t="inlineStr">
        <is>
          <t>West</t>
        </is>
      </c>
      <c r="D250" t="inlineStr">
        <is>
          <t>CA</t>
        </is>
      </c>
      <c r="E250" t="inlineStr">
        <is>
          <t>Los Angeles</t>
        </is>
      </c>
      <c r="F250" t="inlineStr">
        <is>
          <t>Online</t>
        </is>
      </c>
      <c r="G250" t="inlineStr">
        <is>
          <t>Small Business</t>
        </is>
      </c>
      <c r="H250" t="inlineStr">
        <is>
          <t>Furniture</t>
        </is>
      </c>
      <c r="I250" t="inlineStr">
        <is>
          <t>Standing Desk</t>
        </is>
      </c>
      <c r="J250" s="2" t="n">
        <v>4</v>
      </c>
      <c r="K250" s="3" t="n">
        <v>293.54</v>
      </c>
      <c r="L250" s="3" t="n">
        <v>1174.16</v>
      </c>
      <c r="M250" s="3" t="n">
        <v>706.49</v>
      </c>
      <c r="N250" s="3" t="n">
        <v>467.67</v>
      </c>
    </row>
    <row r="251">
      <c r="A251" t="inlineStr">
        <is>
          <t>SO-2403-10249</t>
        </is>
      </c>
      <c r="B251" s="1" t="n">
        <v>45352</v>
      </c>
      <c r="C251" t="inlineStr">
        <is>
          <t>Midwest</t>
        </is>
      </c>
      <c r="D251" t="inlineStr">
        <is>
          <t>OH</t>
        </is>
      </c>
      <c r="E251" t="inlineStr">
        <is>
          <t>Columbus</t>
        </is>
      </c>
      <c r="F251" t="inlineStr">
        <is>
          <t>Online</t>
        </is>
      </c>
      <c r="G251" t="inlineStr">
        <is>
          <t>Corporate</t>
        </is>
      </c>
      <c r="H251" t="inlineStr">
        <is>
          <t>Furniture</t>
        </is>
      </c>
      <c r="I251" t="inlineStr">
        <is>
          <t>Standing Desk</t>
        </is>
      </c>
      <c r="J251" s="2" t="n">
        <v>1</v>
      </c>
      <c r="K251" s="3" t="n">
        <v>342.24</v>
      </c>
      <c r="L251" s="3" t="n">
        <v>342.24</v>
      </c>
      <c r="M251" s="3" t="n">
        <v>213.03</v>
      </c>
      <c r="N251" s="3" t="n">
        <v>129.21</v>
      </c>
    </row>
    <row r="252">
      <c r="A252" t="inlineStr">
        <is>
          <t>SO-2505-10250</t>
        </is>
      </c>
      <c r="B252" s="1" t="n">
        <v>45786</v>
      </c>
      <c r="C252" t="inlineStr">
        <is>
          <t>Midwest</t>
        </is>
      </c>
      <c r="D252" t="inlineStr">
        <is>
          <t>MN</t>
        </is>
      </c>
      <c r="E252" t="inlineStr">
        <is>
          <t>Minneapolis</t>
        </is>
      </c>
      <c r="F252" t="inlineStr">
        <is>
          <t>Online</t>
        </is>
      </c>
      <c r="G252" t="inlineStr">
        <is>
          <t>Small Business</t>
        </is>
      </c>
      <c r="H252" t="inlineStr">
        <is>
          <t>Office Supplies</t>
        </is>
      </c>
      <c r="I252" t="inlineStr">
        <is>
          <t>Pens</t>
        </is>
      </c>
      <c r="J252" s="2" t="n">
        <v>4</v>
      </c>
      <c r="K252" s="3" t="n">
        <v>4.67</v>
      </c>
      <c r="L252" s="3" t="n">
        <v>18.68</v>
      </c>
      <c r="M252" s="3" t="n">
        <v>10.66</v>
      </c>
      <c r="N252" s="3" t="n">
        <v>8.02</v>
      </c>
    </row>
    <row r="253">
      <c r="A253" t="inlineStr">
        <is>
          <t>SO-2512-10251</t>
        </is>
      </c>
      <c r="B253" s="1" t="n">
        <v>46016</v>
      </c>
      <c r="C253" t="inlineStr">
        <is>
          <t>Northeast</t>
        </is>
      </c>
      <c r="D253" t="inlineStr">
        <is>
          <t>NY</t>
        </is>
      </c>
      <c r="E253" t="inlineStr">
        <is>
          <t>New York</t>
        </is>
      </c>
      <c r="F253" t="inlineStr">
        <is>
          <t>Online</t>
        </is>
      </c>
      <c r="G253" t="inlineStr">
        <is>
          <t>Small Business</t>
        </is>
      </c>
      <c r="H253" t="inlineStr">
        <is>
          <t>Furniture</t>
        </is>
      </c>
      <c r="I253" t="inlineStr">
        <is>
          <t>Filing Cabinet</t>
        </is>
      </c>
      <c r="J253" s="2" t="n">
        <v>1</v>
      </c>
      <c r="K253" s="3" t="n">
        <v>142.38</v>
      </c>
      <c r="L253" s="3" t="n">
        <v>142.38</v>
      </c>
      <c r="M253" s="3" t="n">
        <v>85.81</v>
      </c>
      <c r="N253" s="3" t="n">
        <v>56.57</v>
      </c>
    </row>
    <row r="254">
      <c r="A254" t="inlineStr">
        <is>
          <t>SO-2509-10252</t>
        </is>
      </c>
      <c r="B254" s="1" t="n">
        <v>45905</v>
      </c>
      <c r="C254" t="inlineStr">
        <is>
          <t>Northeast</t>
        </is>
      </c>
      <c r="D254" t="inlineStr">
        <is>
          <t>PA</t>
        </is>
      </c>
      <c r="E254" t="inlineStr">
        <is>
          <t>Philadelphia</t>
        </is>
      </c>
      <c r="F254" t="inlineStr">
        <is>
          <t>In-Store</t>
        </is>
      </c>
      <c r="G254" t="inlineStr">
        <is>
          <t>Corporate</t>
        </is>
      </c>
      <c r="H254" t="inlineStr">
        <is>
          <t>Furniture</t>
        </is>
      </c>
      <c r="I254" t="inlineStr">
        <is>
          <t>Desk Chair</t>
        </is>
      </c>
      <c r="J254" s="2" t="n">
        <v>1</v>
      </c>
      <c r="K254" s="3" t="n">
        <v>131.87</v>
      </c>
      <c r="L254" s="3" t="n">
        <v>131.87</v>
      </c>
      <c r="M254" s="3" t="n">
        <v>91.43000000000001</v>
      </c>
      <c r="N254" s="3" t="n">
        <v>40.44</v>
      </c>
    </row>
    <row r="255">
      <c r="A255" t="inlineStr">
        <is>
          <t>SO-2411-10253</t>
        </is>
      </c>
      <c r="B255" s="1" t="n">
        <v>45603</v>
      </c>
      <c r="C255" t="inlineStr">
        <is>
          <t>Northeast</t>
        </is>
      </c>
      <c r="D255" t="inlineStr">
        <is>
          <t>NY</t>
        </is>
      </c>
      <c r="E255" t="inlineStr">
        <is>
          <t>New York</t>
        </is>
      </c>
      <c r="F255" t="inlineStr">
        <is>
          <t>Online</t>
        </is>
      </c>
      <c r="G255" t="inlineStr">
        <is>
          <t>Consumer</t>
        </is>
      </c>
      <c r="H255" t="inlineStr">
        <is>
          <t>Furniture</t>
        </is>
      </c>
      <c r="I255" t="inlineStr">
        <is>
          <t>Bookshelf</t>
        </is>
      </c>
      <c r="J255" s="2" t="n">
        <v>3</v>
      </c>
      <c r="K255" s="3" t="n">
        <v>76.83</v>
      </c>
      <c r="L255" s="3" t="n">
        <v>230.49</v>
      </c>
      <c r="M255" s="3" t="n">
        <v>168.79</v>
      </c>
      <c r="N255" s="3" t="n">
        <v>61.7</v>
      </c>
    </row>
    <row r="256">
      <c r="A256" t="inlineStr">
        <is>
          <t>SO-2403-10254</t>
        </is>
      </c>
      <c r="B256" s="1" t="n">
        <v>45365</v>
      </c>
      <c r="C256" t="inlineStr">
        <is>
          <t>Midwest</t>
        </is>
      </c>
      <c r="D256" t="inlineStr">
        <is>
          <t>MN</t>
        </is>
      </c>
      <c r="E256" t="inlineStr">
        <is>
          <t>Minneapolis</t>
        </is>
      </c>
      <c r="F256" t="inlineStr">
        <is>
          <t>Online</t>
        </is>
      </c>
      <c r="G256" t="inlineStr">
        <is>
          <t>Consumer</t>
        </is>
      </c>
      <c r="H256" t="inlineStr">
        <is>
          <t>Office Supplies</t>
        </is>
      </c>
      <c r="I256" t="inlineStr">
        <is>
          <t>Pens</t>
        </is>
      </c>
      <c r="J256" s="2" t="n">
        <v>1</v>
      </c>
      <c r="K256" s="3" t="n">
        <v>4.25</v>
      </c>
      <c r="L256" s="3" t="n">
        <v>4.25</v>
      </c>
      <c r="M256" s="3" t="n">
        <v>2.64</v>
      </c>
      <c r="N256" s="3" t="n">
        <v>1.61</v>
      </c>
    </row>
    <row r="257">
      <c r="A257" t="inlineStr">
        <is>
          <t>SO-2503-10255</t>
        </is>
      </c>
      <c r="B257" s="1" t="n">
        <v>45736</v>
      </c>
      <c r="C257" t="inlineStr">
        <is>
          <t>West</t>
        </is>
      </c>
      <c r="D257" t="inlineStr">
        <is>
          <t>CO</t>
        </is>
      </c>
      <c r="E257" t="inlineStr">
        <is>
          <t>Denver</t>
        </is>
      </c>
      <c r="F257" t="inlineStr">
        <is>
          <t>In-Store</t>
        </is>
      </c>
      <c r="G257" t="inlineStr">
        <is>
          <t>Consumer</t>
        </is>
      </c>
      <c r="H257" t="inlineStr">
        <is>
          <t>Office Supplies</t>
        </is>
      </c>
      <c r="I257" t="inlineStr">
        <is>
          <t>Binders</t>
        </is>
      </c>
      <c r="J257" s="2" t="n">
        <v>3</v>
      </c>
      <c r="K257" s="3" t="n">
        <v>11.43</v>
      </c>
      <c r="L257" s="3" t="n">
        <v>34.29</v>
      </c>
      <c r="M257" s="3" t="n">
        <v>21.76</v>
      </c>
      <c r="N257" s="3" t="n">
        <v>12.53</v>
      </c>
    </row>
    <row r="258">
      <c r="A258" t="inlineStr">
        <is>
          <t>SO-2409-10256</t>
        </is>
      </c>
      <c r="B258" s="1" t="n">
        <v>45549</v>
      </c>
      <c r="C258" t="inlineStr">
        <is>
          <t>Midwest</t>
        </is>
      </c>
      <c r="D258" t="inlineStr">
        <is>
          <t>IL</t>
        </is>
      </c>
      <c r="E258" t="inlineStr">
        <is>
          <t>Chicago</t>
        </is>
      </c>
      <c r="F258" t="inlineStr">
        <is>
          <t>Partner</t>
        </is>
      </c>
      <c r="G258" t="inlineStr">
        <is>
          <t>Consumer</t>
        </is>
      </c>
      <c r="H258" t="inlineStr">
        <is>
          <t>Technology</t>
        </is>
      </c>
      <c r="I258" t="inlineStr">
        <is>
          <t>Mouse</t>
        </is>
      </c>
      <c r="J258" s="2" t="n">
        <v>3</v>
      </c>
      <c r="K258" s="3" t="n">
        <v>20.86</v>
      </c>
      <c r="L258" s="3" t="n">
        <v>62.58</v>
      </c>
      <c r="M258" s="3" t="n">
        <v>48.08</v>
      </c>
      <c r="N258" s="3" t="n">
        <v>14.5</v>
      </c>
    </row>
    <row r="259">
      <c r="A259" t="inlineStr">
        <is>
          <t>SO-2510-10257</t>
        </is>
      </c>
      <c r="B259" s="1" t="n">
        <v>45945</v>
      </c>
      <c r="C259" t="inlineStr">
        <is>
          <t>South</t>
        </is>
      </c>
      <c r="D259" t="inlineStr">
        <is>
          <t>AL</t>
        </is>
      </c>
      <c r="E259" t="inlineStr">
        <is>
          <t>Birmingham</t>
        </is>
      </c>
      <c r="F259" t="inlineStr">
        <is>
          <t>Partner</t>
        </is>
      </c>
      <c r="G259" t="inlineStr">
        <is>
          <t>Small Business</t>
        </is>
      </c>
      <c r="H259" t="inlineStr">
        <is>
          <t>Furniture</t>
        </is>
      </c>
      <c r="I259" t="inlineStr">
        <is>
          <t>Desk Chair</t>
        </is>
      </c>
      <c r="J259" s="2" t="n">
        <v>4</v>
      </c>
      <c r="K259" s="3" t="n">
        <v>111.48</v>
      </c>
      <c r="L259" s="3" t="n">
        <v>445.92</v>
      </c>
      <c r="M259" s="3" t="n">
        <v>286.52</v>
      </c>
      <c r="N259" s="3" t="n">
        <v>159.4</v>
      </c>
    </row>
    <row r="260">
      <c r="A260" t="inlineStr">
        <is>
          <t>SO-2411-10258</t>
        </is>
      </c>
      <c r="B260" s="1" t="n">
        <v>45619</v>
      </c>
      <c r="C260" t="inlineStr">
        <is>
          <t>Northeast</t>
        </is>
      </c>
      <c r="D260" t="inlineStr">
        <is>
          <t>NY</t>
        </is>
      </c>
      <c r="E260" t="inlineStr">
        <is>
          <t>New York</t>
        </is>
      </c>
      <c r="F260" t="inlineStr">
        <is>
          <t>Online</t>
        </is>
      </c>
      <c r="G260" t="inlineStr">
        <is>
          <t>Corporate</t>
        </is>
      </c>
      <c r="H260" t="inlineStr">
        <is>
          <t>Furniture</t>
        </is>
      </c>
      <c r="I260" t="inlineStr">
        <is>
          <t>Bookshelf</t>
        </is>
      </c>
      <c r="J260" s="2" t="n">
        <v>3</v>
      </c>
      <c r="K260" s="3" t="n">
        <v>96.53</v>
      </c>
      <c r="L260" s="3" t="n">
        <v>289.59</v>
      </c>
      <c r="M260" s="3" t="n">
        <v>208.59</v>
      </c>
      <c r="N260" s="3" t="n">
        <v>81</v>
      </c>
    </row>
    <row r="261">
      <c r="A261" t="inlineStr">
        <is>
          <t>SO-2512-10259</t>
        </is>
      </c>
      <c r="B261" s="1" t="n">
        <v>46014</v>
      </c>
      <c r="C261" t="inlineStr">
        <is>
          <t>Northeast</t>
        </is>
      </c>
      <c r="D261" t="inlineStr">
        <is>
          <t>PA</t>
        </is>
      </c>
      <c r="E261" t="inlineStr">
        <is>
          <t>Philadelphia</t>
        </is>
      </c>
      <c r="F261" t="inlineStr">
        <is>
          <t>In-Store</t>
        </is>
      </c>
      <c r="G261" t="inlineStr">
        <is>
          <t>Consumer</t>
        </is>
      </c>
      <c r="H261" t="inlineStr">
        <is>
          <t>Technology</t>
        </is>
      </c>
      <c r="I261" t="inlineStr">
        <is>
          <t>Keyboard</t>
        </is>
      </c>
      <c r="J261" s="2" t="n">
        <v>4</v>
      </c>
      <c r="K261" s="3" t="n">
        <v>34.68</v>
      </c>
      <c r="L261" s="3" t="n">
        <v>138.72</v>
      </c>
      <c r="M261" s="3" t="n">
        <v>103.28</v>
      </c>
      <c r="N261" s="3" t="n">
        <v>35.44</v>
      </c>
    </row>
    <row r="262">
      <c r="A262" t="inlineStr">
        <is>
          <t>SO-2405-10260</t>
        </is>
      </c>
      <c r="B262" s="1" t="n">
        <v>45437</v>
      </c>
      <c r="C262" t="inlineStr">
        <is>
          <t>Northeast</t>
        </is>
      </c>
      <c r="D262" t="inlineStr">
        <is>
          <t>NJ</t>
        </is>
      </c>
      <c r="E262" t="inlineStr">
        <is>
          <t>Newark</t>
        </is>
      </c>
      <c r="F262" t="inlineStr">
        <is>
          <t>Partner</t>
        </is>
      </c>
      <c r="G262" t="inlineStr">
        <is>
          <t>Consumer</t>
        </is>
      </c>
      <c r="H262" t="inlineStr">
        <is>
          <t>Technology</t>
        </is>
      </c>
      <c r="I262" t="inlineStr">
        <is>
          <t>Laptop Stand</t>
        </is>
      </c>
      <c r="J262" s="2" t="n">
        <v>1</v>
      </c>
      <c r="K262" s="3" t="n">
        <v>32.07</v>
      </c>
      <c r="L262" s="3" t="n">
        <v>32.07</v>
      </c>
      <c r="M262" s="3" t="n">
        <v>22.72</v>
      </c>
      <c r="N262" s="3" t="n">
        <v>9.35</v>
      </c>
    </row>
    <row r="263">
      <c r="A263" t="inlineStr">
        <is>
          <t>SO-2501-10261</t>
        </is>
      </c>
      <c r="B263" s="1" t="n">
        <v>45673</v>
      </c>
      <c r="C263" t="inlineStr">
        <is>
          <t>Northeast</t>
        </is>
      </c>
      <c r="D263" t="inlineStr">
        <is>
          <t>MA</t>
        </is>
      </c>
      <c r="E263" t="inlineStr">
        <is>
          <t>Boston</t>
        </is>
      </c>
      <c r="F263" t="inlineStr">
        <is>
          <t>Online</t>
        </is>
      </c>
      <c r="G263" t="inlineStr">
        <is>
          <t>Consumer</t>
        </is>
      </c>
      <c r="H263" t="inlineStr">
        <is>
          <t>Technology</t>
        </is>
      </c>
      <c r="I263" t="inlineStr">
        <is>
          <t>Laptop Stand</t>
        </is>
      </c>
      <c r="J263" s="2" t="n">
        <v>4</v>
      </c>
      <c r="K263" s="3" t="n">
        <v>26.3</v>
      </c>
      <c r="L263" s="3" t="n">
        <v>105.2</v>
      </c>
      <c r="M263" s="3" t="n">
        <v>71.44</v>
      </c>
      <c r="N263" s="3" t="n">
        <v>33.76</v>
      </c>
    </row>
    <row r="264">
      <c r="A264" t="inlineStr">
        <is>
          <t>SO-2503-10262</t>
        </is>
      </c>
      <c r="B264" s="1" t="n">
        <v>45741</v>
      </c>
      <c r="C264" t="inlineStr">
        <is>
          <t>West</t>
        </is>
      </c>
      <c r="D264" t="inlineStr">
        <is>
          <t>WA</t>
        </is>
      </c>
      <c r="E264" t="inlineStr">
        <is>
          <t>Seattle</t>
        </is>
      </c>
      <c r="F264" t="inlineStr">
        <is>
          <t>Online</t>
        </is>
      </c>
      <c r="G264" t="inlineStr">
        <is>
          <t>Small Business</t>
        </is>
      </c>
      <c r="H264" t="inlineStr">
        <is>
          <t>Technology</t>
        </is>
      </c>
      <c r="I264" t="inlineStr">
        <is>
          <t>Mouse</t>
        </is>
      </c>
      <c r="J264" s="2" t="n">
        <v>1</v>
      </c>
      <c r="K264" s="3" t="n">
        <v>20.96</v>
      </c>
      <c r="L264" s="3" t="n">
        <v>20.96</v>
      </c>
      <c r="M264" s="3" t="n">
        <v>14.17</v>
      </c>
      <c r="N264" s="3" t="n">
        <v>6.79</v>
      </c>
    </row>
    <row r="265">
      <c r="A265" t="inlineStr">
        <is>
          <t>SO-2504-10263</t>
        </is>
      </c>
      <c r="B265" s="1" t="n">
        <v>45772</v>
      </c>
      <c r="C265" t="inlineStr">
        <is>
          <t>Northeast</t>
        </is>
      </c>
      <c r="D265" t="inlineStr">
        <is>
          <t>MA</t>
        </is>
      </c>
      <c r="E265" t="inlineStr">
        <is>
          <t>Boston</t>
        </is>
      </c>
      <c r="F265" t="inlineStr">
        <is>
          <t>Online</t>
        </is>
      </c>
      <c r="G265" t="inlineStr">
        <is>
          <t>Small Business</t>
        </is>
      </c>
      <c r="H265" t="inlineStr">
        <is>
          <t>Technology</t>
        </is>
      </c>
      <c r="I265" t="inlineStr">
        <is>
          <t>Monitor</t>
        </is>
      </c>
      <c r="J265" s="2" t="n">
        <v>2</v>
      </c>
      <c r="K265" s="3" t="n">
        <v>153.22</v>
      </c>
      <c r="L265" s="3" t="n">
        <v>306.44</v>
      </c>
      <c r="M265" s="3" t="n">
        <v>221.11</v>
      </c>
      <c r="N265" s="3" t="n">
        <v>85.33</v>
      </c>
    </row>
    <row r="266">
      <c r="A266" t="inlineStr">
        <is>
          <t>SO-2403-10264</t>
        </is>
      </c>
      <c r="B266" s="1" t="n">
        <v>45353</v>
      </c>
      <c r="C266" t="inlineStr">
        <is>
          <t>Midwest</t>
        </is>
      </c>
      <c r="D266" t="inlineStr">
        <is>
          <t>MN</t>
        </is>
      </c>
      <c r="E266" t="inlineStr">
        <is>
          <t>Minneapolis</t>
        </is>
      </c>
      <c r="F266" t="inlineStr">
        <is>
          <t>Partner</t>
        </is>
      </c>
      <c r="G266" t="inlineStr">
        <is>
          <t>Small Business</t>
        </is>
      </c>
      <c r="H266" t="inlineStr">
        <is>
          <t>Technology</t>
        </is>
      </c>
      <c r="I266" t="inlineStr">
        <is>
          <t>Keyboard</t>
        </is>
      </c>
      <c r="J266" s="2" t="n">
        <v>2</v>
      </c>
      <c r="K266" s="3" t="n">
        <v>45.68</v>
      </c>
      <c r="L266" s="3" t="n">
        <v>91.36</v>
      </c>
      <c r="M266" s="3" t="n">
        <v>65.01000000000001</v>
      </c>
      <c r="N266" s="3" t="n">
        <v>26.35</v>
      </c>
    </row>
    <row r="267">
      <c r="A267" t="inlineStr">
        <is>
          <t>SO-2412-10265</t>
        </is>
      </c>
      <c r="B267" s="1" t="n">
        <v>45643</v>
      </c>
      <c r="C267" t="inlineStr">
        <is>
          <t>Midwest</t>
        </is>
      </c>
      <c r="D267" t="inlineStr">
        <is>
          <t>MI</t>
        </is>
      </c>
      <c r="E267" t="inlineStr">
        <is>
          <t>Detroit</t>
        </is>
      </c>
      <c r="F267" t="inlineStr">
        <is>
          <t>Partner</t>
        </is>
      </c>
      <c r="G267" t="inlineStr">
        <is>
          <t>Small Business</t>
        </is>
      </c>
      <c r="H267" t="inlineStr">
        <is>
          <t>Furniture</t>
        </is>
      </c>
      <c r="I267" t="inlineStr">
        <is>
          <t>Filing Cabinet</t>
        </is>
      </c>
      <c r="J267" s="2" t="n">
        <v>2</v>
      </c>
      <c r="K267" s="3" t="n">
        <v>181.72</v>
      </c>
      <c r="L267" s="3" t="n">
        <v>363.44</v>
      </c>
      <c r="M267" s="3" t="n">
        <v>229.29</v>
      </c>
      <c r="N267" s="3" t="n">
        <v>134.15</v>
      </c>
    </row>
    <row r="268">
      <c r="A268" t="inlineStr">
        <is>
          <t>SO-2503-10266</t>
        </is>
      </c>
      <c r="B268" s="1" t="n">
        <v>45718</v>
      </c>
      <c r="C268" t="inlineStr">
        <is>
          <t>South</t>
        </is>
      </c>
      <c r="D268" t="inlineStr">
        <is>
          <t>AL</t>
        </is>
      </c>
      <c r="E268" t="inlineStr">
        <is>
          <t>Birmingham</t>
        </is>
      </c>
      <c r="F268" t="inlineStr">
        <is>
          <t>In-Store</t>
        </is>
      </c>
      <c r="G268" t="inlineStr">
        <is>
          <t>Small Business</t>
        </is>
      </c>
      <c r="H268" t="inlineStr">
        <is>
          <t>Office Supplies</t>
        </is>
      </c>
      <c r="I268" t="inlineStr">
        <is>
          <t>Stapler</t>
        </is>
      </c>
      <c r="J268" s="2" t="n">
        <v>3</v>
      </c>
      <c r="K268" s="3" t="n">
        <v>13.74</v>
      </c>
      <c r="L268" s="3" t="n">
        <v>41.22</v>
      </c>
      <c r="M268" s="3" t="n">
        <v>23.58</v>
      </c>
      <c r="N268" s="3" t="n">
        <v>17.64</v>
      </c>
    </row>
    <row r="269">
      <c r="A269" t="inlineStr">
        <is>
          <t>SO-2404-10267</t>
        </is>
      </c>
      <c r="B269" s="1" t="n">
        <v>45406</v>
      </c>
      <c r="C269" t="inlineStr">
        <is>
          <t>Northeast</t>
        </is>
      </c>
      <c r="D269" t="inlineStr">
        <is>
          <t>NJ</t>
        </is>
      </c>
      <c r="E269" t="inlineStr">
        <is>
          <t>Newark</t>
        </is>
      </c>
      <c r="F269" t="inlineStr">
        <is>
          <t>Online</t>
        </is>
      </c>
      <c r="G269" t="inlineStr">
        <is>
          <t>Corporate</t>
        </is>
      </c>
      <c r="H269" t="inlineStr">
        <is>
          <t>Technology</t>
        </is>
      </c>
      <c r="I269" t="inlineStr">
        <is>
          <t>Monitor</t>
        </is>
      </c>
      <c r="J269" s="2" t="n">
        <v>3</v>
      </c>
      <c r="K269" s="3" t="n">
        <v>159.16</v>
      </c>
      <c r="L269" s="3" t="n">
        <v>477.48</v>
      </c>
      <c r="M269" s="3" t="n">
        <v>362.98</v>
      </c>
      <c r="N269" s="3" t="n">
        <v>114.5</v>
      </c>
    </row>
    <row r="270">
      <c r="A270" t="inlineStr">
        <is>
          <t>SO-2512-10268</t>
        </is>
      </c>
      <c r="B270" s="1" t="n">
        <v>46005</v>
      </c>
      <c r="C270" t="inlineStr">
        <is>
          <t>South</t>
        </is>
      </c>
      <c r="D270" t="inlineStr">
        <is>
          <t>AL</t>
        </is>
      </c>
      <c r="E270" t="inlineStr">
        <is>
          <t>Birmingham</t>
        </is>
      </c>
      <c r="F270" t="inlineStr">
        <is>
          <t>Online</t>
        </is>
      </c>
      <c r="G270" t="inlineStr">
        <is>
          <t>Small Business</t>
        </is>
      </c>
      <c r="H270" t="inlineStr">
        <is>
          <t>Furniture</t>
        </is>
      </c>
      <c r="I270" t="inlineStr">
        <is>
          <t>Bookshelf</t>
        </is>
      </c>
      <c r="J270" s="2" t="n">
        <v>2</v>
      </c>
      <c r="K270" s="3" t="n">
        <v>95.64</v>
      </c>
      <c r="L270" s="3" t="n">
        <v>191.28</v>
      </c>
      <c r="M270" s="3" t="n">
        <v>128.54</v>
      </c>
      <c r="N270" s="3" t="n">
        <v>62.74</v>
      </c>
    </row>
    <row r="271">
      <c r="A271" t="inlineStr">
        <is>
          <t>SO-2404-10269</t>
        </is>
      </c>
      <c r="B271" s="1" t="n">
        <v>45409</v>
      </c>
      <c r="C271" t="inlineStr">
        <is>
          <t>South</t>
        </is>
      </c>
      <c r="D271" t="inlineStr">
        <is>
          <t>TN</t>
        </is>
      </c>
      <c r="E271" t="inlineStr">
        <is>
          <t>Nashville</t>
        </is>
      </c>
      <c r="F271" t="inlineStr">
        <is>
          <t>Partner</t>
        </is>
      </c>
      <c r="G271" t="inlineStr">
        <is>
          <t>Small Business</t>
        </is>
      </c>
      <c r="H271" t="inlineStr">
        <is>
          <t>Furniture</t>
        </is>
      </c>
      <c r="I271" t="inlineStr">
        <is>
          <t>Desk Chair</t>
        </is>
      </c>
      <c r="J271" s="2" t="n">
        <v>4</v>
      </c>
      <c r="K271" s="3" t="n">
        <v>141.7</v>
      </c>
      <c r="L271" s="3" t="n">
        <v>566.8</v>
      </c>
      <c r="M271" s="3" t="n">
        <v>377.62</v>
      </c>
      <c r="N271" s="3" t="n">
        <v>189.18</v>
      </c>
    </row>
    <row r="272">
      <c r="A272" t="inlineStr">
        <is>
          <t>SO-2404-10270</t>
        </is>
      </c>
      <c r="B272" s="1" t="n">
        <v>45387</v>
      </c>
      <c r="C272" t="inlineStr">
        <is>
          <t>South</t>
        </is>
      </c>
      <c r="D272" t="inlineStr">
        <is>
          <t>TN</t>
        </is>
      </c>
      <c r="E272" t="inlineStr">
        <is>
          <t>Nashville</t>
        </is>
      </c>
      <c r="F272" t="inlineStr">
        <is>
          <t>Online</t>
        </is>
      </c>
      <c r="G272" t="inlineStr">
        <is>
          <t>Corporate</t>
        </is>
      </c>
      <c r="H272" t="inlineStr">
        <is>
          <t>Furniture</t>
        </is>
      </c>
      <c r="I272" t="inlineStr">
        <is>
          <t>Filing Cabinet</t>
        </is>
      </c>
      <c r="J272" s="2" t="n">
        <v>1</v>
      </c>
      <c r="K272" s="3" t="n">
        <v>162.12</v>
      </c>
      <c r="L272" s="3" t="n">
        <v>162.12</v>
      </c>
      <c r="M272" s="3" t="n">
        <v>107.12</v>
      </c>
      <c r="N272" s="3" t="n">
        <v>55</v>
      </c>
    </row>
    <row r="273">
      <c r="A273" t="inlineStr">
        <is>
          <t>SO-2411-10271</t>
        </is>
      </c>
      <c r="B273" s="1" t="n">
        <v>45599</v>
      </c>
      <c r="C273" t="inlineStr">
        <is>
          <t>South</t>
        </is>
      </c>
      <c r="D273" t="inlineStr">
        <is>
          <t>TN</t>
        </is>
      </c>
      <c r="E273" t="inlineStr">
        <is>
          <t>Nashville</t>
        </is>
      </c>
      <c r="F273" t="inlineStr">
        <is>
          <t>Online</t>
        </is>
      </c>
      <c r="G273" t="inlineStr">
        <is>
          <t>Small Business</t>
        </is>
      </c>
      <c r="H273" t="inlineStr">
        <is>
          <t>Office Supplies</t>
        </is>
      </c>
      <c r="I273" t="inlineStr">
        <is>
          <t>Paper</t>
        </is>
      </c>
      <c r="J273" s="2" t="n">
        <v>2</v>
      </c>
      <c r="K273" s="3" t="n">
        <v>6.72</v>
      </c>
      <c r="L273" s="3" t="n">
        <v>13.44</v>
      </c>
      <c r="M273" s="3" t="n">
        <v>7.42</v>
      </c>
      <c r="N273" s="3" t="n">
        <v>6.02</v>
      </c>
    </row>
    <row r="274">
      <c r="A274" t="inlineStr">
        <is>
          <t>SO-2412-10272</t>
        </is>
      </c>
      <c r="B274" s="1" t="n">
        <v>45641</v>
      </c>
      <c r="C274" t="inlineStr">
        <is>
          <t>Northeast</t>
        </is>
      </c>
      <c r="D274" t="inlineStr">
        <is>
          <t>NJ</t>
        </is>
      </c>
      <c r="E274" t="inlineStr">
        <is>
          <t>Newark</t>
        </is>
      </c>
      <c r="F274" t="inlineStr">
        <is>
          <t>Partner</t>
        </is>
      </c>
      <c r="G274" t="inlineStr">
        <is>
          <t>Small Business</t>
        </is>
      </c>
      <c r="H274" t="inlineStr">
        <is>
          <t>Office Supplies</t>
        </is>
      </c>
      <c r="I274" t="inlineStr">
        <is>
          <t>Pens</t>
        </is>
      </c>
      <c r="J274" s="2" t="n">
        <v>4</v>
      </c>
      <c r="K274" s="3" t="n">
        <v>4.57</v>
      </c>
      <c r="L274" s="3" t="n">
        <v>18.28</v>
      </c>
      <c r="M274" s="3" t="n">
        <v>12.57</v>
      </c>
      <c r="N274" s="3" t="n">
        <v>5.71</v>
      </c>
    </row>
    <row r="275">
      <c r="A275" t="inlineStr">
        <is>
          <t>SO-2402-10273</t>
        </is>
      </c>
      <c r="B275" s="1" t="n">
        <v>45336</v>
      </c>
      <c r="C275" t="inlineStr">
        <is>
          <t>South</t>
        </is>
      </c>
      <c r="D275" t="inlineStr">
        <is>
          <t>FL</t>
        </is>
      </c>
      <c r="E275" t="inlineStr">
        <is>
          <t>Miami</t>
        </is>
      </c>
      <c r="F275" t="inlineStr">
        <is>
          <t>Partner</t>
        </is>
      </c>
      <c r="G275" t="inlineStr">
        <is>
          <t>Corporate</t>
        </is>
      </c>
      <c r="H275" t="inlineStr">
        <is>
          <t>Office Supplies</t>
        </is>
      </c>
      <c r="I275" t="inlineStr">
        <is>
          <t>Pens</t>
        </is>
      </c>
      <c r="J275" s="2" t="n">
        <v>3</v>
      </c>
      <c r="K275" s="3" t="n">
        <v>4.32</v>
      </c>
      <c r="L275" s="3" t="n">
        <v>12.96</v>
      </c>
      <c r="M275" s="3" t="n">
        <v>8.56</v>
      </c>
      <c r="N275" s="3" t="n">
        <v>4.4</v>
      </c>
    </row>
    <row r="276">
      <c r="A276" t="inlineStr">
        <is>
          <t>SO-2409-10274</t>
        </is>
      </c>
      <c r="B276" s="1" t="n">
        <v>45552</v>
      </c>
      <c r="C276" t="inlineStr">
        <is>
          <t>South</t>
        </is>
      </c>
      <c r="D276" t="inlineStr">
        <is>
          <t>FL</t>
        </is>
      </c>
      <c r="E276" t="inlineStr">
        <is>
          <t>Miami</t>
        </is>
      </c>
      <c r="F276" t="inlineStr">
        <is>
          <t>In-Store</t>
        </is>
      </c>
      <c r="G276" t="inlineStr">
        <is>
          <t>Consumer</t>
        </is>
      </c>
      <c r="H276" t="inlineStr">
        <is>
          <t>Furniture</t>
        </is>
      </c>
      <c r="I276" t="inlineStr">
        <is>
          <t>Bookshelf</t>
        </is>
      </c>
      <c r="J276" s="2" t="n">
        <v>6</v>
      </c>
      <c r="K276" s="3" t="n">
        <v>98.17</v>
      </c>
      <c r="L276" s="3" t="n">
        <v>589.02</v>
      </c>
      <c r="M276" s="3" t="n">
        <v>409.24</v>
      </c>
      <c r="N276" s="3" t="n">
        <v>179.78</v>
      </c>
    </row>
    <row r="277">
      <c r="A277" t="inlineStr">
        <is>
          <t>SO-2407-10275</t>
        </is>
      </c>
      <c r="B277" s="1" t="n">
        <v>45481</v>
      </c>
      <c r="C277" t="inlineStr">
        <is>
          <t>West</t>
        </is>
      </c>
      <c r="D277" t="inlineStr">
        <is>
          <t>CA</t>
        </is>
      </c>
      <c r="E277" t="inlineStr">
        <is>
          <t>Los Angeles</t>
        </is>
      </c>
      <c r="F277" t="inlineStr">
        <is>
          <t>Online</t>
        </is>
      </c>
      <c r="G277" t="inlineStr">
        <is>
          <t>Small Business</t>
        </is>
      </c>
      <c r="H277" t="inlineStr">
        <is>
          <t>Furniture</t>
        </is>
      </c>
      <c r="I277" t="inlineStr">
        <is>
          <t>Filing Cabinet</t>
        </is>
      </c>
      <c r="J277" s="2" t="n">
        <v>2</v>
      </c>
      <c r="K277" s="3" t="n">
        <v>141.44</v>
      </c>
      <c r="L277" s="3" t="n">
        <v>282.88</v>
      </c>
      <c r="M277" s="3" t="n">
        <v>202.58</v>
      </c>
      <c r="N277" s="3" t="n">
        <v>80.3</v>
      </c>
    </row>
    <row r="278">
      <c r="A278" t="inlineStr">
        <is>
          <t>SO-2401-10276</t>
        </is>
      </c>
      <c r="B278" s="1" t="n">
        <v>45306</v>
      </c>
      <c r="C278" t="inlineStr">
        <is>
          <t>Midwest</t>
        </is>
      </c>
      <c r="D278" t="inlineStr">
        <is>
          <t>MN</t>
        </is>
      </c>
      <c r="E278" t="inlineStr">
        <is>
          <t>Minneapolis</t>
        </is>
      </c>
      <c r="F278" t="inlineStr">
        <is>
          <t>Online</t>
        </is>
      </c>
      <c r="G278" t="inlineStr">
        <is>
          <t>Corporate</t>
        </is>
      </c>
      <c r="H278" t="inlineStr">
        <is>
          <t>Office Supplies</t>
        </is>
      </c>
      <c r="I278" t="inlineStr">
        <is>
          <t>Binders</t>
        </is>
      </c>
      <c r="J278" s="2" t="n">
        <v>5</v>
      </c>
      <c r="K278" s="3" t="n">
        <v>10.11</v>
      </c>
      <c r="L278" s="3" t="n">
        <v>50.55</v>
      </c>
      <c r="M278" s="3" t="n">
        <v>33.03</v>
      </c>
      <c r="N278" s="3" t="n">
        <v>17.52</v>
      </c>
    </row>
    <row r="279">
      <c r="A279" t="inlineStr">
        <is>
          <t>SO-2510-10277</t>
        </is>
      </c>
      <c r="B279" s="1" t="n">
        <v>45952</v>
      </c>
      <c r="C279" t="inlineStr">
        <is>
          <t>Northeast</t>
        </is>
      </c>
      <c r="D279" t="inlineStr">
        <is>
          <t>NJ</t>
        </is>
      </c>
      <c r="E279" t="inlineStr">
        <is>
          <t>Newark</t>
        </is>
      </c>
      <c r="F279" t="inlineStr">
        <is>
          <t>Partner</t>
        </is>
      </c>
      <c r="G279" t="inlineStr">
        <is>
          <t>Small Business</t>
        </is>
      </c>
      <c r="H279" t="inlineStr">
        <is>
          <t>Furniture</t>
        </is>
      </c>
      <c r="I279" t="inlineStr">
        <is>
          <t>Filing Cabinet</t>
        </is>
      </c>
      <c r="J279" s="2" t="n">
        <v>4</v>
      </c>
      <c r="K279" s="3" t="n">
        <v>177.9</v>
      </c>
      <c r="L279" s="3" t="n">
        <v>711.6</v>
      </c>
      <c r="M279" s="3" t="n">
        <v>434.78</v>
      </c>
      <c r="N279" s="3" t="n">
        <v>276.82</v>
      </c>
    </row>
    <row r="280">
      <c r="A280" t="inlineStr">
        <is>
          <t>SO-2412-10278</t>
        </is>
      </c>
      <c r="B280" s="1" t="n">
        <v>45629</v>
      </c>
      <c r="C280" t="inlineStr">
        <is>
          <t>West</t>
        </is>
      </c>
      <c r="D280" t="inlineStr">
        <is>
          <t>CO</t>
        </is>
      </c>
      <c r="E280" t="inlineStr">
        <is>
          <t>Denver</t>
        </is>
      </c>
      <c r="F280" t="inlineStr">
        <is>
          <t>Partner</t>
        </is>
      </c>
      <c r="G280" t="inlineStr">
        <is>
          <t>Consumer</t>
        </is>
      </c>
      <c r="H280" t="inlineStr">
        <is>
          <t>Office Supplies</t>
        </is>
      </c>
      <c r="I280" t="inlineStr">
        <is>
          <t>Stapler</t>
        </is>
      </c>
      <c r="J280" s="2" t="n">
        <v>6</v>
      </c>
      <c r="K280" s="3" t="n">
        <v>12.57</v>
      </c>
      <c r="L280" s="3" t="n">
        <v>75.42</v>
      </c>
      <c r="M280" s="3" t="n">
        <v>51.36</v>
      </c>
      <c r="N280" s="3" t="n">
        <v>24.06</v>
      </c>
    </row>
    <row r="281">
      <c r="A281" t="inlineStr">
        <is>
          <t>SO-2504-10279</t>
        </is>
      </c>
      <c r="B281" s="1" t="n">
        <v>45771</v>
      </c>
      <c r="C281" t="inlineStr">
        <is>
          <t>Midwest</t>
        </is>
      </c>
      <c r="D281" t="inlineStr">
        <is>
          <t>OH</t>
        </is>
      </c>
      <c r="E281" t="inlineStr">
        <is>
          <t>Columbus</t>
        </is>
      </c>
      <c r="F281" t="inlineStr">
        <is>
          <t>In-Store</t>
        </is>
      </c>
      <c r="G281" t="inlineStr">
        <is>
          <t>Corporate</t>
        </is>
      </c>
      <c r="H281" t="inlineStr">
        <is>
          <t>Furniture</t>
        </is>
      </c>
      <c r="I281" t="inlineStr">
        <is>
          <t>Desk Chair</t>
        </is>
      </c>
      <c r="J281" s="2" t="n">
        <v>2</v>
      </c>
      <c r="K281" s="3" t="n">
        <v>118.73</v>
      </c>
      <c r="L281" s="3" t="n">
        <v>237.46</v>
      </c>
      <c r="M281" s="3" t="n">
        <v>151.1</v>
      </c>
      <c r="N281" s="3" t="n">
        <v>86.36</v>
      </c>
    </row>
    <row r="282">
      <c r="A282" t="inlineStr">
        <is>
          <t>SO-2402-10280</t>
        </is>
      </c>
      <c r="B282" s="1" t="n">
        <v>45338</v>
      </c>
      <c r="C282" t="inlineStr">
        <is>
          <t>Midwest</t>
        </is>
      </c>
      <c r="D282" t="inlineStr">
        <is>
          <t>IL</t>
        </is>
      </c>
      <c r="E282" t="inlineStr">
        <is>
          <t>Chicago</t>
        </is>
      </c>
      <c r="F282" t="inlineStr">
        <is>
          <t>Partner</t>
        </is>
      </c>
      <c r="G282" t="inlineStr">
        <is>
          <t>Consumer</t>
        </is>
      </c>
      <c r="H282" t="inlineStr">
        <is>
          <t>Technology</t>
        </is>
      </c>
      <c r="I282" t="inlineStr">
        <is>
          <t>Laptop Stand</t>
        </is>
      </c>
      <c r="J282" s="2" t="n">
        <v>1</v>
      </c>
      <c r="K282" s="3" t="n">
        <v>28.49</v>
      </c>
      <c r="L282" s="3" t="n">
        <v>28.49</v>
      </c>
      <c r="M282" s="3" t="n">
        <v>19.45</v>
      </c>
      <c r="N282" s="3" t="n">
        <v>9.039999999999999</v>
      </c>
    </row>
    <row r="283">
      <c r="A283" t="inlineStr">
        <is>
          <t>SO-2508-10281</t>
        </is>
      </c>
      <c r="B283" s="1" t="n">
        <v>45890</v>
      </c>
      <c r="C283" t="inlineStr">
        <is>
          <t>Northeast</t>
        </is>
      </c>
      <c r="D283" t="inlineStr">
        <is>
          <t>PA</t>
        </is>
      </c>
      <c r="E283" t="inlineStr">
        <is>
          <t>Philadelphia</t>
        </is>
      </c>
      <c r="F283" t="inlineStr">
        <is>
          <t>Online</t>
        </is>
      </c>
      <c r="G283" t="inlineStr">
        <is>
          <t>Small Business</t>
        </is>
      </c>
      <c r="H283" t="inlineStr">
        <is>
          <t>Technology</t>
        </is>
      </c>
      <c r="I283" t="inlineStr">
        <is>
          <t>Monitor</t>
        </is>
      </c>
      <c r="J283" s="2" t="n">
        <v>2</v>
      </c>
      <c r="K283" s="3" t="n">
        <v>156.42</v>
      </c>
      <c r="L283" s="3" t="n">
        <v>312.84</v>
      </c>
      <c r="M283" s="3" t="n">
        <v>207.8</v>
      </c>
      <c r="N283" s="3" t="n">
        <v>105.04</v>
      </c>
    </row>
    <row r="284">
      <c r="A284" t="inlineStr">
        <is>
          <t>SO-2408-10282</t>
        </is>
      </c>
      <c r="B284" s="1" t="n">
        <v>45535</v>
      </c>
      <c r="C284" t="inlineStr">
        <is>
          <t>South</t>
        </is>
      </c>
      <c r="D284" t="inlineStr">
        <is>
          <t>GA</t>
        </is>
      </c>
      <c r="E284" t="inlineStr">
        <is>
          <t>Atlanta</t>
        </is>
      </c>
      <c r="F284" t="inlineStr">
        <is>
          <t>Online</t>
        </is>
      </c>
      <c r="G284" t="inlineStr">
        <is>
          <t>Small Business</t>
        </is>
      </c>
      <c r="H284" t="inlineStr">
        <is>
          <t>Office Supplies</t>
        </is>
      </c>
      <c r="I284" t="inlineStr">
        <is>
          <t>Stapler</t>
        </is>
      </c>
      <c r="J284" s="2" t="n">
        <v>1</v>
      </c>
      <c r="K284" s="3" t="n">
        <v>13.51</v>
      </c>
      <c r="L284" s="3" t="n">
        <v>13.51</v>
      </c>
      <c r="M284" s="3" t="n">
        <v>8.720000000000001</v>
      </c>
      <c r="N284" s="3" t="n">
        <v>4.79</v>
      </c>
    </row>
    <row r="285">
      <c r="A285" t="inlineStr">
        <is>
          <t>SO-2502-10283</t>
        </is>
      </c>
      <c r="B285" s="1" t="n">
        <v>45707</v>
      </c>
      <c r="C285" t="inlineStr">
        <is>
          <t>South</t>
        </is>
      </c>
      <c r="D285" t="inlineStr">
        <is>
          <t>FL</t>
        </is>
      </c>
      <c r="E285" t="inlineStr">
        <is>
          <t>Miami</t>
        </is>
      </c>
      <c r="F285" t="inlineStr">
        <is>
          <t>In-Store</t>
        </is>
      </c>
      <c r="G285" t="inlineStr">
        <is>
          <t>Consumer</t>
        </is>
      </c>
      <c r="H285" t="inlineStr">
        <is>
          <t>Technology</t>
        </is>
      </c>
      <c r="I285" t="inlineStr">
        <is>
          <t>Monitor</t>
        </is>
      </c>
      <c r="J285" s="2" t="n">
        <v>1</v>
      </c>
      <c r="K285" s="3" t="n">
        <v>180.47</v>
      </c>
      <c r="L285" s="3" t="n">
        <v>180.47</v>
      </c>
      <c r="M285" s="3" t="n">
        <v>119.67</v>
      </c>
      <c r="N285" s="3" t="n">
        <v>60.8</v>
      </c>
    </row>
    <row r="286">
      <c r="A286" t="inlineStr">
        <is>
          <t>SO-2407-10284</t>
        </is>
      </c>
      <c r="B286" s="1" t="n">
        <v>45502</v>
      </c>
      <c r="C286" t="inlineStr">
        <is>
          <t>Midwest</t>
        </is>
      </c>
      <c r="D286" t="inlineStr">
        <is>
          <t>MI</t>
        </is>
      </c>
      <c r="E286" t="inlineStr">
        <is>
          <t>Detroit</t>
        </is>
      </c>
      <c r="F286" t="inlineStr">
        <is>
          <t>Online</t>
        </is>
      </c>
      <c r="G286" t="inlineStr">
        <is>
          <t>Small Business</t>
        </is>
      </c>
      <c r="H286" t="inlineStr">
        <is>
          <t>Technology</t>
        </is>
      </c>
      <c r="I286" t="inlineStr">
        <is>
          <t>Monitor</t>
        </is>
      </c>
      <c r="J286" s="2" t="n">
        <v>1</v>
      </c>
      <c r="K286" s="3" t="n">
        <v>201.28</v>
      </c>
      <c r="L286" s="3" t="n">
        <v>201.28</v>
      </c>
      <c r="M286" s="3" t="n">
        <v>156.88</v>
      </c>
      <c r="N286" s="3" t="n">
        <v>44.4</v>
      </c>
    </row>
    <row r="287">
      <c r="A287" t="inlineStr">
        <is>
          <t>SO-2411-10285</t>
        </is>
      </c>
      <c r="B287" s="1" t="n">
        <v>45600</v>
      </c>
      <c r="C287" t="inlineStr">
        <is>
          <t>West</t>
        </is>
      </c>
      <c r="D287" t="inlineStr">
        <is>
          <t>CO</t>
        </is>
      </c>
      <c r="E287" t="inlineStr">
        <is>
          <t>Denver</t>
        </is>
      </c>
      <c r="F287" t="inlineStr">
        <is>
          <t>Partner</t>
        </is>
      </c>
      <c r="G287" t="inlineStr">
        <is>
          <t>Corporate</t>
        </is>
      </c>
      <c r="H287" t="inlineStr">
        <is>
          <t>Technology</t>
        </is>
      </c>
      <c r="I287" t="inlineStr">
        <is>
          <t>Laptop Stand</t>
        </is>
      </c>
      <c r="J287" s="2" t="n">
        <v>1</v>
      </c>
      <c r="K287" s="3" t="n">
        <v>30.61</v>
      </c>
      <c r="L287" s="3" t="n">
        <v>30.61</v>
      </c>
      <c r="M287" s="3" t="n">
        <v>19.3</v>
      </c>
      <c r="N287" s="3" t="n">
        <v>11.31</v>
      </c>
    </row>
    <row r="288">
      <c r="A288" t="inlineStr">
        <is>
          <t>SO-2504-10286</t>
        </is>
      </c>
      <c r="B288" s="1" t="n">
        <v>45771</v>
      </c>
      <c r="C288" t="inlineStr">
        <is>
          <t>Midwest</t>
        </is>
      </c>
      <c r="D288" t="inlineStr">
        <is>
          <t>MI</t>
        </is>
      </c>
      <c r="E288" t="inlineStr">
        <is>
          <t>Detroit</t>
        </is>
      </c>
      <c r="F288" t="inlineStr">
        <is>
          <t>In-Store</t>
        </is>
      </c>
      <c r="G288" t="inlineStr">
        <is>
          <t>Small Business</t>
        </is>
      </c>
      <c r="H288" t="inlineStr">
        <is>
          <t>Office Supplies</t>
        </is>
      </c>
      <c r="I288" t="inlineStr">
        <is>
          <t>Pens</t>
        </is>
      </c>
      <c r="J288" s="2" t="n">
        <v>2</v>
      </c>
      <c r="K288" s="3" t="n">
        <v>4.6</v>
      </c>
      <c r="L288" s="3" t="n">
        <v>9.199999999999999</v>
      </c>
      <c r="M288" s="3" t="n">
        <v>5.17</v>
      </c>
      <c r="N288" s="3" t="n">
        <v>4.03</v>
      </c>
    </row>
    <row r="289">
      <c r="A289" t="inlineStr">
        <is>
          <t>SO-2406-10287</t>
        </is>
      </c>
      <c r="B289" s="1" t="n">
        <v>45460</v>
      </c>
      <c r="C289" t="inlineStr">
        <is>
          <t>West</t>
        </is>
      </c>
      <c r="D289" t="inlineStr">
        <is>
          <t>CA</t>
        </is>
      </c>
      <c r="E289" t="inlineStr">
        <is>
          <t>Los Angeles</t>
        </is>
      </c>
      <c r="F289" t="inlineStr">
        <is>
          <t>Partner</t>
        </is>
      </c>
      <c r="G289" t="inlineStr">
        <is>
          <t>Corporate</t>
        </is>
      </c>
      <c r="H289" t="inlineStr">
        <is>
          <t>Technology</t>
        </is>
      </c>
      <c r="I289" t="inlineStr">
        <is>
          <t>Monitor</t>
        </is>
      </c>
      <c r="J289" s="2" t="n">
        <v>3</v>
      </c>
      <c r="K289" s="3" t="n">
        <v>201.54</v>
      </c>
      <c r="L289" s="3" t="n">
        <v>604.62</v>
      </c>
      <c r="M289" s="3" t="n">
        <v>390.8</v>
      </c>
      <c r="N289" s="3" t="n">
        <v>213.82</v>
      </c>
    </row>
    <row r="290">
      <c r="A290" t="inlineStr">
        <is>
          <t>SO-2510-10288</t>
        </is>
      </c>
      <c r="B290" s="1" t="n">
        <v>45955</v>
      </c>
      <c r="C290" t="inlineStr">
        <is>
          <t>Northeast</t>
        </is>
      </c>
      <c r="D290" t="inlineStr">
        <is>
          <t>NY</t>
        </is>
      </c>
      <c r="E290" t="inlineStr">
        <is>
          <t>New York</t>
        </is>
      </c>
      <c r="F290" t="inlineStr">
        <is>
          <t>Online</t>
        </is>
      </c>
      <c r="G290" t="inlineStr">
        <is>
          <t>Consumer</t>
        </is>
      </c>
      <c r="H290" t="inlineStr">
        <is>
          <t>Office Supplies</t>
        </is>
      </c>
      <c r="I290" t="inlineStr">
        <is>
          <t>Paper</t>
        </is>
      </c>
      <c r="J290" s="2" t="n">
        <v>6</v>
      </c>
      <c r="K290" s="3" t="n">
        <v>6.78</v>
      </c>
      <c r="L290" s="3" t="n">
        <v>40.68</v>
      </c>
      <c r="M290" s="3" t="n">
        <v>23.6</v>
      </c>
      <c r="N290" s="3" t="n">
        <v>17.08</v>
      </c>
    </row>
    <row r="291">
      <c r="A291" t="inlineStr">
        <is>
          <t>SO-2405-10289</t>
        </is>
      </c>
      <c r="B291" s="1" t="n">
        <v>45431</v>
      </c>
      <c r="C291" t="inlineStr">
        <is>
          <t>Northeast</t>
        </is>
      </c>
      <c r="D291" t="inlineStr">
        <is>
          <t>NY</t>
        </is>
      </c>
      <c r="E291" t="inlineStr">
        <is>
          <t>New York</t>
        </is>
      </c>
      <c r="F291" t="inlineStr">
        <is>
          <t>Online</t>
        </is>
      </c>
      <c r="G291" t="inlineStr">
        <is>
          <t>Consumer</t>
        </is>
      </c>
      <c r="H291" t="inlineStr">
        <is>
          <t>Office Supplies</t>
        </is>
      </c>
      <c r="I291" t="inlineStr">
        <is>
          <t>Paper</t>
        </is>
      </c>
      <c r="J291" s="2" t="n">
        <v>2</v>
      </c>
      <c r="K291" s="3" t="n">
        <v>6.11</v>
      </c>
      <c r="L291" s="3" t="n">
        <v>12.22</v>
      </c>
      <c r="M291" s="3" t="n">
        <v>8.199999999999999</v>
      </c>
      <c r="N291" s="3" t="n">
        <v>4.02</v>
      </c>
    </row>
    <row r="292">
      <c r="A292" t="inlineStr">
        <is>
          <t>SO-2510-10290</t>
        </is>
      </c>
      <c r="B292" s="1" t="n">
        <v>45956</v>
      </c>
      <c r="C292" t="inlineStr">
        <is>
          <t>Midwest</t>
        </is>
      </c>
      <c r="D292" t="inlineStr">
        <is>
          <t>IL</t>
        </is>
      </c>
      <c r="E292" t="inlineStr">
        <is>
          <t>Chicago</t>
        </is>
      </c>
      <c r="F292" t="inlineStr">
        <is>
          <t>In-Store</t>
        </is>
      </c>
      <c r="G292" t="inlineStr">
        <is>
          <t>Corporate</t>
        </is>
      </c>
      <c r="H292" t="inlineStr">
        <is>
          <t>Furniture</t>
        </is>
      </c>
      <c r="I292" t="inlineStr">
        <is>
          <t>Bookshelf</t>
        </is>
      </c>
      <c r="J292" s="2" t="n">
        <v>1</v>
      </c>
      <c r="K292" s="3" t="n">
        <v>101.41</v>
      </c>
      <c r="L292" s="3" t="n">
        <v>101.41</v>
      </c>
      <c r="M292" s="3" t="n">
        <v>71.73999999999999</v>
      </c>
      <c r="N292" s="3" t="n">
        <v>29.67</v>
      </c>
    </row>
    <row r="293">
      <c r="A293" t="inlineStr">
        <is>
          <t>SO-2509-10291</t>
        </is>
      </c>
      <c r="B293" s="1" t="n">
        <v>45904</v>
      </c>
      <c r="C293" t="inlineStr">
        <is>
          <t>Midwest</t>
        </is>
      </c>
      <c r="D293" t="inlineStr">
        <is>
          <t>OH</t>
        </is>
      </c>
      <c r="E293" t="inlineStr">
        <is>
          <t>Columbus</t>
        </is>
      </c>
      <c r="F293" t="inlineStr">
        <is>
          <t>In-Store</t>
        </is>
      </c>
      <c r="G293" t="inlineStr">
        <is>
          <t>Corporate</t>
        </is>
      </c>
      <c r="H293" t="inlineStr">
        <is>
          <t>Office Supplies</t>
        </is>
      </c>
      <c r="I293" t="inlineStr">
        <is>
          <t>Stapler</t>
        </is>
      </c>
      <c r="J293" s="2" t="n">
        <v>2</v>
      </c>
      <c r="K293" s="3" t="n">
        <v>14.14</v>
      </c>
      <c r="L293" s="3" t="n">
        <v>28.28</v>
      </c>
      <c r="M293" s="3" t="n">
        <v>15.92</v>
      </c>
      <c r="N293" s="3" t="n">
        <v>12.36</v>
      </c>
    </row>
    <row r="294">
      <c r="A294" t="inlineStr">
        <is>
          <t>SO-2412-10292</t>
        </is>
      </c>
      <c r="B294" s="1" t="n">
        <v>45629</v>
      </c>
      <c r="C294" t="inlineStr">
        <is>
          <t>West</t>
        </is>
      </c>
      <c r="D294" t="inlineStr">
        <is>
          <t>CA</t>
        </is>
      </c>
      <c r="E294" t="inlineStr">
        <is>
          <t>Los Angeles</t>
        </is>
      </c>
      <c r="F294" t="inlineStr">
        <is>
          <t>Online</t>
        </is>
      </c>
      <c r="G294" t="inlineStr">
        <is>
          <t>Consumer</t>
        </is>
      </c>
      <c r="H294" t="inlineStr">
        <is>
          <t>Office Supplies</t>
        </is>
      </c>
      <c r="I294" t="inlineStr">
        <is>
          <t>Binders</t>
        </is>
      </c>
      <c r="J294" s="2" t="n">
        <v>1</v>
      </c>
      <c r="K294" s="3" t="n">
        <v>10.18</v>
      </c>
      <c r="L294" s="3" t="n">
        <v>10.18</v>
      </c>
      <c r="M294" s="3" t="n">
        <v>7.11</v>
      </c>
      <c r="N294" s="3" t="n">
        <v>3.07</v>
      </c>
    </row>
    <row r="295">
      <c r="A295" t="inlineStr">
        <is>
          <t>SO-2412-10293</t>
        </is>
      </c>
      <c r="B295" s="1" t="n">
        <v>45644</v>
      </c>
      <c r="C295" t="inlineStr">
        <is>
          <t>South</t>
        </is>
      </c>
      <c r="D295" t="inlineStr">
        <is>
          <t>AL</t>
        </is>
      </c>
      <c r="E295" t="inlineStr">
        <is>
          <t>Birmingham</t>
        </is>
      </c>
      <c r="F295" t="inlineStr">
        <is>
          <t>Partner</t>
        </is>
      </c>
      <c r="G295" t="inlineStr">
        <is>
          <t>Small Business</t>
        </is>
      </c>
      <c r="H295" t="inlineStr">
        <is>
          <t>Office Supplies</t>
        </is>
      </c>
      <c r="I295" t="inlineStr">
        <is>
          <t>Pens</t>
        </is>
      </c>
      <c r="J295" s="2" t="n">
        <v>6</v>
      </c>
      <c r="K295" s="3" t="n">
        <v>4.53</v>
      </c>
      <c r="L295" s="3" t="n">
        <v>27.18</v>
      </c>
      <c r="M295" s="3" t="n">
        <v>18.38</v>
      </c>
      <c r="N295" s="3" t="n">
        <v>8.800000000000001</v>
      </c>
    </row>
    <row r="296">
      <c r="A296" t="inlineStr">
        <is>
          <t>SO-2510-10294</t>
        </is>
      </c>
      <c r="B296" s="1" t="n">
        <v>45959</v>
      </c>
      <c r="C296" t="inlineStr">
        <is>
          <t>Northeast</t>
        </is>
      </c>
      <c r="D296" t="inlineStr">
        <is>
          <t>PA</t>
        </is>
      </c>
      <c r="E296" t="inlineStr">
        <is>
          <t>Philadelphia</t>
        </is>
      </c>
      <c r="F296" t="inlineStr">
        <is>
          <t>Partner</t>
        </is>
      </c>
      <c r="G296" t="inlineStr">
        <is>
          <t>Small Business</t>
        </is>
      </c>
      <c r="H296" t="inlineStr">
        <is>
          <t>Office Supplies</t>
        </is>
      </c>
      <c r="I296" t="inlineStr">
        <is>
          <t>Binders</t>
        </is>
      </c>
      <c r="J296" s="2" t="n">
        <v>2</v>
      </c>
      <c r="K296" s="3" t="n">
        <v>10.93</v>
      </c>
      <c r="L296" s="3" t="n">
        <v>21.86</v>
      </c>
      <c r="M296" s="3" t="n">
        <v>13.59</v>
      </c>
      <c r="N296" s="3" t="n">
        <v>8.27</v>
      </c>
    </row>
    <row r="297">
      <c r="A297" t="inlineStr">
        <is>
          <t>SO-2501-10295</t>
        </is>
      </c>
      <c r="B297" s="1" t="n">
        <v>45663</v>
      </c>
      <c r="C297" t="inlineStr">
        <is>
          <t>West</t>
        </is>
      </c>
      <c r="D297" t="inlineStr">
        <is>
          <t>AZ</t>
        </is>
      </c>
      <c r="E297" t="inlineStr">
        <is>
          <t>Phoenix</t>
        </is>
      </c>
      <c r="F297" t="inlineStr">
        <is>
          <t>Online</t>
        </is>
      </c>
      <c r="G297" t="inlineStr">
        <is>
          <t>Small Business</t>
        </is>
      </c>
      <c r="H297" t="inlineStr">
        <is>
          <t>Technology</t>
        </is>
      </c>
      <c r="I297" t="inlineStr">
        <is>
          <t>Monitor</t>
        </is>
      </c>
      <c r="J297" s="2" t="n">
        <v>5</v>
      </c>
      <c r="K297" s="3" t="n">
        <v>160.11</v>
      </c>
      <c r="L297" s="3" t="n">
        <v>800.55</v>
      </c>
      <c r="M297" s="3" t="n">
        <v>548.89</v>
      </c>
      <c r="N297" s="3" t="n">
        <v>251.66</v>
      </c>
    </row>
    <row r="298">
      <c r="A298" t="inlineStr">
        <is>
          <t>SO-2407-10296</t>
        </is>
      </c>
      <c r="B298" s="1" t="n">
        <v>45478</v>
      </c>
      <c r="C298" t="inlineStr">
        <is>
          <t>Northeast</t>
        </is>
      </c>
      <c r="D298" t="inlineStr">
        <is>
          <t>NJ</t>
        </is>
      </c>
      <c r="E298" t="inlineStr">
        <is>
          <t>Newark</t>
        </is>
      </c>
      <c r="F298" t="inlineStr">
        <is>
          <t>In-Store</t>
        </is>
      </c>
      <c r="G298" t="inlineStr">
        <is>
          <t>Small Business</t>
        </is>
      </c>
      <c r="H298" t="inlineStr">
        <is>
          <t>Office Supplies</t>
        </is>
      </c>
      <c r="I298" t="inlineStr">
        <is>
          <t>Paper</t>
        </is>
      </c>
      <c r="J298" s="2" t="n">
        <v>6</v>
      </c>
      <c r="K298" s="3" t="n">
        <v>7.25</v>
      </c>
      <c r="L298" s="3" t="n">
        <v>43.5</v>
      </c>
      <c r="M298" s="3" t="n">
        <v>24.72</v>
      </c>
      <c r="N298" s="3" t="n">
        <v>18.78</v>
      </c>
    </row>
    <row r="299">
      <c r="A299" t="inlineStr">
        <is>
          <t>SO-2505-10297</t>
        </is>
      </c>
      <c r="B299" s="1" t="n">
        <v>45802</v>
      </c>
      <c r="C299" t="inlineStr">
        <is>
          <t>Midwest</t>
        </is>
      </c>
      <c r="D299" t="inlineStr">
        <is>
          <t>OH</t>
        </is>
      </c>
      <c r="E299" t="inlineStr">
        <is>
          <t>Columbus</t>
        </is>
      </c>
      <c r="F299" t="inlineStr">
        <is>
          <t>Online</t>
        </is>
      </c>
      <c r="G299" t="inlineStr">
        <is>
          <t>Small Business</t>
        </is>
      </c>
      <c r="H299" t="inlineStr">
        <is>
          <t>Office Supplies</t>
        </is>
      </c>
      <c r="I299" t="inlineStr">
        <is>
          <t>Pens</t>
        </is>
      </c>
      <c r="J299" s="2" t="n">
        <v>1</v>
      </c>
      <c r="K299" s="3" t="n">
        <v>4.53</v>
      </c>
      <c r="L299" s="3" t="n">
        <v>4.53</v>
      </c>
      <c r="M299" s="3" t="n">
        <v>2.73</v>
      </c>
      <c r="N299" s="3" t="n">
        <v>1.8</v>
      </c>
    </row>
    <row r="300">
      <c r="A300" t="inlineStr">
        <is>
          <t>SO-2403-10298</t>
        </is>
      </c>
      <c r="B300" s="1" t="n">
        <v>45359</v>
      </c>
      <c r="C300" t="inlineStr">
        <is>
          <t>Midwest</t>
        </is>
      </c>
      <c r="D300" t="inlineStr">
        <is>
          <t>MN</t>
        </is>
      </c>
      <c r="E300" t="inlineStr">
        <is>
          <t>Minneapolis</t>
        </is>
      </c>
      <c r="F300" t="inlineStr">
        <is>
          <t>Partner</t>
        </is>
      </c>
      <c r="G300" t="inlineStr">
        <is>
          <t>Corporate</t>
        </is>
      </c>
      <c r="H300" t="inlineStr">
        <is>
          <t>Technology</t>
        </is>
      </c>
      <c r="I300" t="inlineStr">
        <is>
          <t>Keyboard</t>
        </is>
      </c>
      <c r="J300" s="2" t="n">
        <v>2</v>
      </c>
      <c r="K300" s="3" t="n">
        <v>37.88</v>
      </c>
      <c r="L300" s="3" t="n">
        <v>75.76000000000001</v>
      </c>
      <c r="M300" s="3" t="n">
        <v>46.93</v>
      </c>
      <c r="N300" s="3" t="n">
        <v>28.83</v>
      </c>
    </row>
    <row r="301">
      <c r="A301" t="inlineStr">
        <is>
          <t>SO-2408-10299</t>
        </is>
      </c>
      <c r="B301" s="1" t="n">
        <v>45521</v>
      </c>
      <c r="C301" t="inlineStr">
        <is>
          <t>Midwest</t>
        </is>
      </c>
      <c r="D301" t="inlineStr">
        <is>
          <t>IL</t>
        </is>
      </c>
      <c r="E301" t="inlineStr">
        <is>
          <t>Chicago</t>
        </is>
      </c>
      <c r="F301" t="inlineStr">
        <is>
          <t>Online</t>
        </is>
      </c>
      <c r="G301" t="inlineStr">
        <is>
          <t>Corporate</t>
        </is>
      </c>
      <c r="H301" t="inlineStr">
        <is>
          <t>Office Supplies</t>
        </is>
      </c>
      <c r="I301" t="inlineStr">
        <is>
          <t>Stapler</t>
        </is>
      </c>
      <c r="J301" s="2" t="n">
        <v>1</v>
      </c>
      <c r="K301" s="3" t="n">
        <v>12.64</v>
      </c>
      <c r="L301" s="3" t="n">
        <v>12.64</v>
      </c>
      <c r="M301" s="3" t="n">
        <v>8.69</v>
      </c>
      <c r="N301" s="3" t="n">
        <v>3.95</v>
      </c>
    </row>
    <row r="302">
      <c r="A302" t="inlineStr">
        <is>
          <t>SO-2410-10300</t>
        </is>
      </c>
      <c r="B302" s="1" t="n">
        <v>45577</v>
      </c>
      <c r="C302" t="inlineStr">
        <is>
          <t>South</t>
        </is>
      </c>
      <c r="D302" t="inlineStr">
        <is>
          <t>FL</t>
        </is>
      </c>
      <c r="E302" t="inlineStr">
        <is>
          <t>Miami</t>
        </is>
      </c>
      <c r="F302" t="inlineStr">
        <is>
          <t>In-Store</t>
        </is>
      </c>
      <c r="G302" t="inlineStr">
        <is>
          <t>Corporate</t>
        </is>
      </c>
      <c r="H302" t="inlineStr">
        <is>
          <t>Furniture</t>
        </is>
      </c>
      <c r="I302" t="inlineStr">
        <is>
          <t>Filing Cabinet</t>
        </is>
      </c>
      <c r="J302" s="2" t="n">
        <v>2</v>
      </c>
      <c r="K302" s="3" t="n">
        <v>147.6</v>
      </c>
      <c r="L302" s="3" t="n">
        <v>295.2</v>
      </c>
      <c r="M302" s="3" t="n">
        <v>192.57</v>
      </c>
      <c r="N302" s="3" t="n">
        <v>102.63</v>
      </c>
    </row>
    <row r="303">
      <c r="A303" t="inlineStr">
        <is>
          <t>SO-2401-10301</t>
        </is>
      </c>
      <c r="B303" s="1" t="n">
        <v>45296</v>
      </c>
      <c r="C303" t="inlineStr">
        <is>
          <t>Northeast</t>
        </is>
      </c>
      <c r="D303" t="inlineStr">
        <is>
          <t>MA</t>
        </is>
      </c>
      <c r="E303" t="inlineStr">
        <is>
          <t>Boston</t>
        </is>
      </c>
      <c r="F303" t="inlineStr">
        <is>
          <t>In-Store</t>
        </is>
      </c>
      <c r="G303" t="inlineStr">
        <is>
          <t>Consumer</t>
        </is>
      </c>
      <c r="H303" t="inlineStr">
        <is>
          <t>Technology</t>
        </is>
      </c>
      <c r="I303" t="inlineStr">
        <is>
          <t>Monitor</t>
        </is>
      </c>
      <c r="J303" s="2" t="n">
        <v>3</v>
      </c>
      <c r="K303" s="3" t="n">
        <v>204.52</v>
      </c>
      <c r="L303" s="3" t="n">
        <v>613.5599999999999</v>
      </c>
      <c r="M303" s="3" t="n">
        <v>401.28</v>
      </c>
      <c r="N303" s="3" t="n">
        <v>212.28</v>
      </c>
    </row>
    <row r="304">
      <c r="A304" t="inlineStr">
        <is>
          <t>SO-2501-10302</t>
        </is>
      </c>
      <c r="B304" s="1" t="n">
        <v>45661</v>
      </c>
      <c r="C304" t="inlineStr">
        <is>
          <t>Northeast</t>
        </is>
      </c>
      <c r="D304" t="inlineStr">
        <is>
          <t>PA</t>
        </is>
      </c>
      <c r="E304" t="inlineStr">
        <is>
          <t>Philadelphia</t>
        </is>
      </c>
      <c r="F304" t="inlineStr">
        <is>
          <t>Online</t>
        </is>
      </c>
      <c r="G304" t="inlineStr">
        <is>
          <t>Corporate</t>
        </is>
      </c>
      <c r="H304" t="inlineStr">
        <is>
          <t>Furniture</t>
        </is>
      </c>
      <c r="I304" t="inlineStr">
        <is>
          <t>Filing Cabinet</t>
        </is>
      </c>
      <c r="J304" s="2" t="n">
        <v>2</v>
      </c>
      <c r="K304" s="3" t="n">
        <v>146.17</v>
      </c>
      <c r="L304" s="3" t="n">
        <v>292.34</v>
      </c>
      <c r="M304" s="3" t="n">
        <v>211.87</v>
      </c>
      <c r="N304" s="3" t="n">
        <v>80.47</v>
      </c>
    </row>
    <row r="305">
      <c r="A305" t="inlineStr">
        <is>
          <t>SO-2405-10303</t>
        </is>
      </c>
      <c r="B305" s="1" t="n">
        <v>45428</v>
      </c>
      <c r="C305" t="inlineStr">
        <is>
          <t>Northeast</t>
        </is>
      </c>
      <c r="D305" t="inlineStr">
        <is>
          <t>NJ</t>
        </is>
      </c>
      <c r="E305" t="inlineStr">
        <is>
          <t>Newark</t>
        </is>
      </c>
      <c r="F305" t="inlineStr">
        <is>
          <t>In-Store</t>
        </is>
      </c>
      <c r="G305" t="inlineStr">
        <is>
          <t>Consumer</t>
        </is>
      </c>
      <c r="H305" t="inlineStr">
        <is>
          <t>Office Supplies</t>
        </is>
      </c>
      <c r="I305" t="inlineStr">
        <is>
          <t>Binders</t>
        </is>
      </c>
      <c r="J305" s="2" t="n">
        <v>3</v>
      </c>
      <c r="K305" s="3" t="n">
        <v>10.54</v>
      </c>
      <c r="L305" s="3" t="n">
        <v>31.62</v>
      </c>
      <c r="M305" s="3" t="n">
        <v>21.21</v>
      </c>
      <c r="N305" s="3" t="n">
        <v>10.41</v>
      </c>
    </row>
    <row r="306">
      <c r="A306" t="inlineStr">
        <is>
          <t>SO-2502-10304</t>
        </is>
      </c>
      <c r="B306" s="1" t="n">
        <v>45698</v>
      </c>
      <c r="C306" t="inlineStr">
        <is>
          <t>Midwest</t>
        </is>
      </c>
      <c r="D306" t="inlineStr">
        <is>
          <t>IL</t>
        </is>
      </c>
      <c r="E306" t="inlineStr">
        <is>
          <t>Chicago</t>
        </is>
      </c>
      <c r="F306" t="inlineStr">
        <is>
          <t>In-Store</t>
        </is>
      </c>
      <c r="G306" t="inlineStr">
        <is>
          <t>Consumer</t>
        </is>
      </c>
      <c r="H306" t="inlineStr">
        <is>
          <t>Office Supplies</t>
        </is>
      </c>
      <c r="I306" t="inlineStr">
        <is>
          <t>Stapler</t>
        </is>
      </c>
      <c r="J306" s="2" t="n">
        <v>5</v>
      </c>
      <c r="K306" s="3" t="n">
        <v>13.7</v>
      </c>
      <c r="L306" s="3" t="n">
        <v>68.5</v>
      </c>
      <c r="M306" s="3" t="n">
        <v>38.6</v>
      </c>
      <c r="N306" s="3" t="n">
        <v>29.9</v>
      </c>
    </row>
    <row r="307">
      <c r="A307" t="inlineStr">
        <is>
          <t>SO-2404-10305</t>
        </is>
      </c>
      <c r="B307" s="1" t="n">
        <v>45399</v>
      </c>
      <c r="C307" t="inlineStr">
        <is>
          <t>Northeast</t>
        </is>
      </c>
      <c r="D307" t="inlineStr">
        <is>
          <t>MA</t>
        </is>
      </c>
      <c r="E307" t="inlineStr">
        <is>
          <t>Boston</t>
        </is>
      </c>
      <c r="F307" t="inlineStr">
        <is>
          <t>Partner</t>
        </is>
      </c>
      <c r="G307" t="inlineStr">
        <is>
          <t>Consumer</t>
        </is>
      </c>
      <c r="H307" t="inlineStr">
        <is>
          <t>Furniture</t>
        </is>
      </c>
      <c r="I307" t="inlineStr">
        <is>
          <t>Desk Chair</t>
        </is>
      </c>
      <c r="J307" s="2" t="n">
        <v>1</v>
      </c>
      <c r="K307" s="3" t="n">
        <v>111.97</v>
      </c>
      <c r="L307" s="3" t="n">
        <v>111.97</v>
      </c>
      <c r="M307" s="3" t="n">
        <v>73.14</v>
      </c>
      <c r="N307" s="3" t="n">
        <v>38.83</v>
      </c>
    </row>
    <row r="308">
      <c r="A308" t="inlineStr">
        <is>
          <t>SO-2407-10306</t>
        </is>
      </c>
      <c r="B308" s="1" t="n">
        <v>45475</v>
      </c>
      <c r="C308" t="inlineStr">
        <is>
          <t>South</t>
        </is>
      </c>
      <c r="D308" t="inlineStr">
        <is>
          <t>FL</t>
        </is>
      </c>
      <c r="E308" t="inlineStr">
        <is>
          <t>Miami</t>
        </is>
      </c>
      <c r="F308" t="inlineStr">
        <is>
          <t>Online</t>
        </is>
      </c>
      <c r="G308" t="inlineStr">
        <is>
          <t>Small Business</t>
        </is>
      </c>
      <c r="H308" t="inlineStr">
        <is>
          <t>Office Supplies</t>
        </is>
      </c>
      <c r="I308" t="inlineStr">
        <is>
          <t>Paper</t>
        </is>
      </c>
      <c r="J308" s="2" t="n">
        <v>3</v>
      </c>
      <c r="K308" s="3" t="n">
        <v>6.19</v>
      </c>
      <c r="L308" s="3" t="n">
        <v>18.57</v>
      </c>
      <c r="M308" s="3" t="n">
        <v>11.57</v>
      </c>
      <c r="N308" s="3" t="n">
        <v>7</v>
      </c>
    </row>
    <row r="309">
      <c r="A309" t="inlineStr">
        <is>
          <t>SO-2408-10307</t>
        </is>
      </c>
      <c r="B309" s="1" t="n">
        <v>45521</v>
      </c>
      <c r="C309" t="inlineStr">
        <is>
          <t>Northeast</t>
        </is>
      </c>
      <c r="D309" t="inlineStr">
        <is>
          <t>NY</t>
        </is>
      </c>
      <c r="E309" t="inlineStr">
        <is>
          <t>New York</t>
        </is>
      </c>
      <c r="F309" t="inlineStr">
        <is>
          <t>Partner</t>
        </is>
      </c>
      <c r="G309" t="inlineStr">
        <is>
          <t>Consumer</t>
        </is>
      </c>
      <c r="H309" t="inlineStr">
        <is>
          <t>Furniture</t>
        </is>
      </c>
      <c r="I309" t="inlineStr">
        <is>
          <t>Bookshelf</t>
        </is>
      </c>
      <c r="J309" s="2" t="n">
        <v>2</v>
      </c>
      <c r="K309" s="3" t="n">
        <v>99.16</v>
      </c>
      <c r="L309" s="3" t="n">
        <v>198.32</v>
      </c>
      <c r="M309" s="3" t="n">
        <v>147.75</v>
      </c>
      <c r="N309" s="3" t="n">
        <v>50.57</v>
      </c>
    </row>
    <row r="310">
      <c r="A310" t="inlineStr">
        <is>
          <t>SO-2507-10308</t>
        </is>
      </c>
      <c r="B310" s="1" t="n">
        <v>45861</v>
      </c>
      <c r="C310" t="inlineStr">
        <is>
          <t>Midwest</t>
        </is>
      </c>
      <c r="D310" t="inlineStr">
        <is>
          <t>OH</t>
        </is>
      </c>
      <c r="E310" t="inlineStr">
        <is>
          <t>Columbus</t>
        </is>
      </c>
      <c r="F310" t="inlineStr">
        <is>
          <t>In-Store</t>
        </is>
      </c>
      <c r="G310" t="inlineStr">
        <is>
          <t>Corporate</t>
        </is>
      </c>
      <c r="H310" t="inlineStr">
        <is>
          <t>Office Supplies</t>
        </is>
      </c>
      <c r="I310" t="inlineStr">
        <is>
          <t>Binders</t>
        </is>
      </c>
      <c r="J310" s="2" t="n">
        <v>6</v>
      </c>
      <c r="K310" s="3" t="n">
        <v>9.300000000000001</v>
      </c>
      <c r="L310" s="3" t="n">
        <v>55.8</v>
      </c>
      <c r="M310" s="3" t="n">
        <v>38.78</v>
      </c>
      <c r="N310" s="3" t="n">
        <v>17.02</v>
      </c>
    </row>
    <row r="311">
      <c r="A311" t="inlineStr">
        <is>
          <t>SO-2410-10309</t>
        </is>
      </c>
      <c r="B311" s="1" t="n">
        <v>45567</v>
      </c>
      <c r="C311" t="inlineStr">
        <is>
          <t>South</t>
        </is>
      </c>
      <c r="D311" t="inlineStr">
        <is>
          <t>FL</t>
        </is>
      </c>
      <c r="E311" t="inlineStr">
        <is>
          <t>Miami</t>
        </is>
      </c>
      <c r="F311" t="inlineStr">
        <is>
          <t>In-Store</t>
        </is>
      </c>
      <c r="G311" t="inlineStr">
        <is>
          <t>Corporate</t>
        </is>
      </c>
      <c r="H311" t="inlineStr">
        <is>
          <t>Furniture</t>
        </is>
      </c>
      <c r="I311" t="inlineStr">
        <is>
          <t>Desk Chair</t>
        </is>
      </c>
      <c r="J311" s="2" t="n">
        <v>4</v>
      </c>
      <c r="K311" s="3" t="n">
        <v>135.96</v>
      </c>
      <c r="L311" s="3" t="n">
        <v>543.84</v>
      </c>
      <c r="M311" s="3" t="n">
        <v>379.25</v>
      </c>
      <c r="N311" s="3" t="n">
        <v>164.59</v>
      </c>
    </row>
    <row r="312">
      <c r="A312" t="inlineStr">
        <is>
          <t>SO-2510-10310</t>
        </is>
      </c>
      <c r="B312" s="1" t="n">
        <v>45942</v>
      </c>
      <c r="C312" t="inlineStr">
        <is>
          <t>Midwest</t>
        </is>
      </c>
      <c r="D312" t="inlineStr">
        <is>
          <t>MN</t>
        </is>
      </c>
      <c r="E312" t="inlineStr">
        <is>
          <t>Minneapolis</t>
        </is>
      </c>
      <c r="F312" t="inlineStr">
        <is>
          <t>Online</t>
        </is>
      </c>
      <c r="G312" t="inlineStr">
        <is>
          <t>Consumer</t>
        </is>
      </c>
      <c r="H312" t="inlineStr">
        <is>
          <t>Technology</t>
        </is>
      </c>
      <c r="I312" t="inlineStr">
        <is>
          <t>Keyboard</t>
        </is>
      </c>
      <c r="J312" s="2" t="n">
        <v>4</v>
      </c>
      <c r="K312" s="3" t="n">
        <v>38.64</v>
      </c>
      <c r="L312" s="3" t="n">
        <v>154.56</v>
      </c>
      <c r="M312" s="3" t="n">
        <v>104.14</v>
      </c>
      <c r="N312" s="3" t="n">
        <v>50.42</v>
      </c>
    </row>
    <row r="313">
      <c r="A313" t="inlineStr">
        <is>
          <t>SO-2402-10311</t>
        </is>
      </c>
      <c r="B313" s="1" t="n">
        <v>45342</v>
      </c>
      <c r="C313" t="inlineStr">
        <is>
          <t>Midwest</t>
        </is>
      </c>
      <c r="D313" t="inlineStr">
        <is>
          <t>MN</t>
        </is>
      </c>
      <c r="E313" t="inlineStr">
        <is>
          <t>Minneapolis</t>
        </is>
      </c>
      <c r="F313" t="inlineStr">
        <is>
          <t>In-Store</t>
        </is>
      </c>
      <c r="G313" t="inlineStr">
        <is>
          <t>Small Business</t>
        </is>
      </c>
      <c r="H313" t="inlineStr">
        <is>
          <t>Office Supplies</t>
        </is>
      </c>
      <c r="I313" t="inlineStr">
        <is>
          <t>Pens</t>
        </is>
      </c>
      <c r="J313" s="2" t="n">
        <v>5</v>
      </c>
      <c r="K313" s="3" t="n">
        <v>4.71</v>
      </c>
      <c r="L313" s="3" t="n">
        <v>23.55</v>
      </c>
      <c r="M313" s="3" t="n">
        <v>13.26</v>
      </c>
      <c r="N313" s="3" t="n">
        <v>10.29</v>
      </c>
    </row>
    <row r="314">
      <c r="A314" t="inlineStr">
        <is>
          <t>SO-2504-10312</t>
        </is>
      </c>
      <c r="B314" s="1" t="n">
        <v>45773</v>
      </c>
      <c r="C314" t="inlineStr">
        <is>
          <t>Midwest</t>
        </is>
      </c>
      <c r="D314" t="inlineStr">
        <is>
          <t>MN</t>
        </is>
      </c>
      <c r="E314" t="inlineStr">
        <is>
          <t>Minneapolis</t>
        </is>
      </c>
      <c r="F314" t="inlineStr">
        <is>
          <t>Partner</t>
        </is>
      </c>
      <c r="G314" t="inlineStr">
        <is>
          <t>Corporate</t>
        </is>
      </c>
      <c r="H314" t="inlineStr">
        <is>
          <t>Furniture</t>
        </is>
      </c>
      <c r="I314" t="inlineStr">
        <is>
          <t>Bookshelf</t>
        </is>
      </c>
      <c r="J314" s="2" t="n">
        <v>5</v>
      </c>
      <c r="K314" s="3" t="n">
        <v>88.79000000000001</v>
      </c>
      <c r="L314" s="3" t="n">
        <v>443.95</v>
      </c>
      <c r="M314" s="3" t="n">
        <v>306.35</v>
      </c>
      <c r="N314" s="3" t="n">
        <v>137.6</v>
      </c>
    </row>
    <row r="315">
      <c r="A315" t="inlineStr">
        <is>
          <t>SO-2511-10313</t>
        </is>
      </c>
      <c r="B315" s="1" t="n">
        <v>45967</v>
      </c>
      <c r="C315" t="inlineStr">
        <is>
          <t>West</t>
        </is>
      </c>
      <c r="D315" t="inlineStr">
        <is>
          <t>WA</t>
        </is>
      </c>
      <c r="E315" t="inlineStr">
        <is>
          <t>Seattle</t>
        </is>
      </c>
      <c r="F315" t="inlineStr">
        <is>
          <t>Partner</t>
        </is>
      </c>
      <c r="G315" t="inlineStr">
        <is>
          <t>Corporate</t>
        </is>
      </c>
      <c r="H315" t="inlineStr">
        <is>
          <t>Furniture</t>
        </is>
      </c>
      <c r="I315" t="inlineStr">
        <is>
          <t>Filing Cabinet</t>
        </is>
      </c>
      <c r="J315" s="2" t="n">
        <v>4</v>
      </c>
      <c r="K315" s="3" t="n">
        <v>153.04</v>
      </c>
      <c r="L315" s="3" t="n">
        <v>612.16</v>
      </c>
      <c r="M315" s="3" t="n">
        <v>382.78</v>
      </c>
      <c r="N315" s="3" t="n">
        <v>229.38</v>
      </c>
    </row>
    <row r="316">
      <c r="A316" t="inlineStr">
        <is>
          <t>SO-2508-10314</t>
        </is>
      </c>
      <c r="B316" s="1" t="n">
        <v>45895</v>
      </c>
      <c r="C316" t="inlineStr">
        <is>
          <t>South</t>
        </is>
      </c>
      <c r="D316" t="inlineStr">
        <is>
          <t>AL</t>
        </is>
      </c>
      <c r="E316" t="inlineStr">
        <is>
          <t>Birmingham</t>
        </is>
      </c>
      <c r="F316" t="inlineStr">
        <is>
          <t>In-Store</t>
        </is>
      </c>
      <c r="G316" t="inlineStr">
        <is>
          <t>Small Business</t>
        </is>
      </c>
      <c r="H316" t="inlineStr">
        <is>
          <t>Furniture</t>
        </is>
      </c>
      <c r="I316" t="inlineStr">
        <is>
          <t>Bookshelf</t>
        </is>
      </c>
      <c r="J316" s="2" t="n">
        <v>4</v>
      </c>
      <c r="K316" s="3" t="n">
        <v>83.56999999999999</v>
      </c>
      <c r="L316" s="3" t="n">
        <v>334.28</v>
      </c>
      <c r="M316" s="3" t="n">
        <v>213.65</v>
      </c>
      <c r="N316" s="3" t="n">
        <v>120.63</v>
      </c>
    </row>
    <row r="317">
      <c r="A317" t="inlineStr">
        <is>
          <t>SO-2406-10315</t>
        </is>
      </c>
      <c r="B317" s="1" t="n">
        <v>45468</v>
      </c>
      <c r="C317" t="inlineStr">
        <is>
          <t>Northeast</t>
        </is>
      </c>
      <c r="D317" t="inlineStr">
        <is>
          <t>MA</t>
        </is>
      </c>
      <c r="E317" t="inlineStr">
        <is>
          <t>Boston</t>
        </is>
      </c>
      <c r="F317" t="inlineStr">
        <is>
          <t>Online</t>
        </is>
      </c>
      <c r="G317" t="inlineStr">
        <is>
          <t>Small Business</t>
        </is>
      </c>
      <c r="H317" t="inlineStr">
        <is>
          <t>Office Supplies</t>
        </is>
      </c>
      <c r="I317" t="inlineStr">
        <is>
          <t>Binders</t>
        </is>
      </c>
      <c r="J317" s="2" t="n">
        <v>2</v>
      </c>
      <c r="K317" s="3" t="n">
        <v>10.06</v>
      </c>
      <c r="L317" s="3" t="n">
        <v>20.12</v>
      </c>
      <c r="M317" s="3" t="n">
        <v>12.66</v>
      </c>
      <c r="N317" s="3" t="n">
        <v>7.46</v>
      </c>
    </row>
    <row r="318">
      <c r="A318" t="inlineStr">
        <is>
          <t>SO-2502-10316</t>
        </is>
      </c>
      <c r="B318" s="1" t="n">
        <v>45711</v>
      </c>
      <c r="C318" t="inlineStr">
        <is>
          <t>West</t>
        </is>
      </c>
      <c r="D318" t="inlineStr">
        <is>
          <t>WA</t>
        </is>
      </c>
      <c r="E318" t="inlineStr">
        <is>
          <t>Seattle</t>
        </is>
      </c>
      <c r="F318" t="inlineStr">
        <is>
          <t>Online</t>
        </is>
      </c>
      <c r="G318" t="inlineStr">
        <is>
          <t>Small Business</t>
        </is>
      </c>
      <c r="H318" t="inlineStr">
        <is>
          <t>Furniture</t>
        </is>
      </c>
      <c r="I318" t="inlineStr">
        <is>
          <t>Desk Chair</t>
        </is>
      </c>
      <c r="J318" s="2" t="n">
        <v>1</v>
      </c>
      <c r="K318" s="3" t="n">
        <v>123.05</v>
      </c>
      <c r="L318" s="3" t="n">
        <v>123.05</v>
      </c>
      <c r="M318" s="3" t="n">
        <v>80.31999999999999</v>
      </c>
      <c r="N318" s="3" t="n">
        <v>42.73</v>
      </c>
    </row>
    <row r="319">
      <c r="A319" t="inlineStr">
        <is>
          <t>SO-2403-10317</t>
        </is>
      </c>
      <c r="B319" s="1" t="n">
        <v>45382</v>
      </c>
      <c r="C319" t="inlineStr">
        <is>
          <t>Midwest</t>
        </is>
      </c>
      <c r="D319" t="inlineStr">
        <is>
          <t>MN</t>
        </is>
      </c>
      <c r="E319" t="inlineStr">
        <is>
          <t>Minneapolis</t>
        </is>
      </c>
      <c r="F319" t="inlineStr">
        <is>
          <t>In-Store</t>
        </is>
      </c>
      <c r="G319" t="inlineStr">
        <is>
          <t>Corporate</t>
        </is>
      </c>
      <c r="H319" t="inlineStr">
        <is>
          <t>Office Supplies</t>
        </is>
      </c>
      <c r="I319" t="inlineStr">
        <is>
          <t>Binders</t>
        </is>
      </c>
      <c r="J319" s="2" t="n">
        <v>1</v>
      </c>
      <c r="K319" s="3" t="n">
        <v>9.56</v>
      </c>
      <c r="L319" s="3" t="n">
        <v>9.56</v>
      </c>
      <c r="M319" s="3" t="n">
        <v>6.41</v>
      </c>
      <c r="N319" s="3" t="n">
        <v>3.15</v>
      </c>
    </row>
    <row r="320">
      <c r="A320" t="inlineStr">
        <is>
          <t>SO-2406-10318</t>
        </is>
      </c>
      <c r="B320" s="1" t="n">
        <v>45445</v>
      </c>
      <c r="C320" t="inlineStr">
        <is>
          <t>Midwest</t>
        </is>
      </c>
      <c r="D320" t="inlineStr">
        <is>
          <t>MN</t>
        </is>
      </c>
      <c r="E320" t="inlineStr">
        <is>
          <t>Minneapolis</t>
        </is>
      </c>
      <c r="F320" t="inlineStr">
        <is>
          <t>Online</t>
        </is>
      </c>
      <c r="G320" t="inlineStr">
        <is>
          <t>Small Business</t>
        </is>
      </c>
      <c r="H320" t="inlineStr">
        <is>
          <t>Furniture</t>
        </is>
      </c>
      <c r="I320" t="inlineStr">
        <is>
          <t>Desk Chair</t>
        </is>
      </c>
      <c r="J320" s="2" t="n">
        <v>4</v>
      </c>
      <c r="K320" s="3" t="n">
        <v>128.01</v>
      </c>
      <c r="L320" s="3" t="n">
        <v>512.04</v>
      </c>
      <c r="M320" s="3" t="n">
        <v>363.03</v>
      </c>
      <c r="N320" s="3" t="n">
        <v>149.01</v>
      </c>
    </row>
    <row r="321">
      <c r="A321" t="inlineStr">
        <is>
          <t>SO-2507-10319</t>
        </is>
      </c>
      <c r="B321" s="1" t="n">
        <v>45861</v>
      </c>
      <c r="C321" t="inlineStr">
        <is>
          <t>Northeast</t>
        </is>
      </c>
      <c r="D321" t="inlineStr">
        <is>
          <t>PA</t>
        </is>
      </c>
      <c r="E321" t="inlineStr">
        <is>
          <t>Philadelphia</t>
        </is>
      </c>
      <c r="F321" t="inlineStr">
        <is>
          <t>Online</t>
        </is>
      </c>
      <c r="G321" t="inlineStr">
        <is>
          <t>Consumer</t>
        </is>
      </c>
      <c r="H321" t="inlineStr">
        <is>
          <t>Technology</t>
        </is>
      </c>
      <c r="I321" t="inlineStr">
        <is>
          <t>Keyboard</t>
        </is>
      </c>
      <c r="J321" s="2" t="n">
        <v>3</v>
      </c>
      <c r="K321" s="3" t="n">
        <v>41.46</v>
      </c>
      <c r="L321" s="3" t="n">
        <v>124.38</v>
      </c>
      <c r="M321" s="3" t="n">
        <v>92.56999999999999</v>
      </c>
      <c r="N321" s="3" t="n">
        <v>31.81</v>
      </c>
    </row>
    <row r="322">
      <c r="A322" t="inlineStr">
        <is>
          <t>SO-2409-10320</t>
        </is>
      </c>
      <c r="B322" s="1" t="n">
        <v>45563</v>
      </c>
      <c r="C322" t="inlineStr">
        <is>
          <t>Midwest</t>
        </is>
      </c>
      <c r="D322" t="inlineStr">
        <is>
          <t>IL</t>
        </is>
      </c>
      <c r="E322" t="inlineStr">
        <is>
          <t>Chicago</t>
        </is>
      </c>
      <c r="F322" t="inlineStr">
        <is>
          <t>In-Store</t>
        </is>
      </c>
      <c r="G322" t="inlineStr">
        <is>
          <t>Consumer</t>
        </is>
      </c>
      <c r="H322" t="inlineStr">
        <is>
          <t>Furniture</t>
        </is>
      </c>
      <c r="I322" t="inlineStr">
        <is>
          <t>Standing Desk</t>
        </is>
      </c>
      <c r="J322" s="2" t="n">
        <v>5</v>
      </c>
      <c r="K322" s="3" t="n">
        <v>282.58</v>
      </c>
      <c r="L322" s="3" t="n">
        <v>1412.9</v>
      </c>
      <c r="M322" s="3" t="n">
        <v>880.88</v>
      </c>
      <c r="N322" s="3" t="n">
        <v>532.02</v>
      </c>
    </row>
    <row r="323">
      <c r="A323" t="inlineStr">
        <is>
          <t>SO-2402-10321</t>
        </is>
      </c>
      <c r="B323" s="1" t="n">
        <v>45336</v>
      </c>
      <c r="C323" t="inlineStr">
        <is>
          <t>West</t>
        </is>
      </c>
      <c r="D323" t="inlineStr">
        <is>
          <t>CA</t>
        </is>
      </c>
      <c r="E323" t="inlineStr">
        <is>
          <t>Los Angeles</t>
        </is>
      </c>
      <c r="F323" t="inlineStr">
        <is>
          <t>Partner</t>
        </is>
      </c>
      <c r="G323" t="inlineStr">
        <is>
          <t>Corporate</t>
        </is>
      </c>
      <c r="H323" t="inlineStr">
        <is>
          <t>Office Supplies</t>
        </is>
      </c>
      <c r="I323" t="inlineStr">
        <is>
          <t>Pens</t>
        </is>
      </c>
      <c r="J323" s="2" t="n">
        <v>4</v>
      </c>
      <c r="K323" s="3" t="n">
        <v>4.39</v>
      </c>
      <c r="L323" s="3" t="n">
        <v>17.56</v>
      </c>
      <c r="M323" s="3" t="n">
        <v>11.74</v>
      </c>
      <c r="N323" s="3" t="n">
        <v>5.82</v>
      </c>
    </row>
    <row r="324">
      <c r="A324" t="inlineStr">
        <is>
          <t>SO-2409-10322</t>
        </is>
      </c>
      <c r="B324" s="1" t="n">
        <v>45536</v>
      </c>
      <c r="C324" t="inlineStr">
        <is>
          <t>West</t>
        </is>
      </c>
      <c r="D324" t="inlineStr">
        <is>
          <t>AZ</t>
        </is>
      </c>
      <c r="E324" t="inlineStr">
        <is>
          <t>Phoenix</t>
        </is>
      </c>
      <c r="F324" t="inlineStr">
        <is>
          <t>In-Store</t>
        </is>
      </c>
      <c r="G324" t="inlineStr">
        <is>
          <t>Small Business</t>
        </is>
      </c>
      <c r="H324" t="inlineStr">
        <is>
          <t>Office Supplies</t>
        </is>
      </c>
      <c r="I324" t="inlineStr">
        <is>
          <t>Binders</t>
        </is>
      </c>
      <c r="J324" s="2" t="n">
        <v>4</v>
      </c>
      <c r="K324" s="3" t="n">
        <v>11.4</v>
      </c>
      <c r="L324" s="3" t="n">
        <v>45.6</v>
      </c>
      <c r="M324" s="3" t="n">
        <v>28.03</v>
      </c>
      <c r="N324" s="3" t="n">
        <v>17.57</v>
      </c>
    </row>
    <row r="325">
      <c r="A325" t="inlineStr">
        <is>
          <t>SO-2504-10323</t>
        </is>
      </c>
      <c r="B325" s="1" t="n">
        <v>45748</v>
      </c>
      <c r="C325" t="inlineStr">
        <is>
          <t>Northeast</t>
        </is>
      </c>
      <c r="D325" t="inlineStr">
        <is>
          <t>MA</t>
        </is>
      </c>
      <c r="E325" t="inlineStr">
        <is>
          <t>Boston</t>
        </is>
      </c>
      <c r="F325" t="inlineStr">
        <is>
          <t>In-Store</t>
        </is>
      </c>
      <c r="G325" t="inlineStr">
        <is>
          <t>Corporate</t>
        </is>
      </c>
      <c r="H325" t="inlineStr">
        <is>
          <t>Furniture</t>
        </is>
      </c>
      <c r="I325" t="inlineStr">
        <is>
          <t>Bookshelf</t>
        </is>
      </c>
      <c r="J325" s="2" t="n">
        <v>1</v>
      </c>
      <c r="K325" s="3" t="n">
        <v>78.2</v>
      </c>
      <c r="L325" s="3" t="n">
        <v>78.2</v>
      </c>
      <c r="M325" s="3" t="n">
        <v>46.42</v>
      </c>
      <c r="N325" s="3" t="n">
        <v>31.78</v>
      </c>
    </row>
    <row r="326">
      <c r="A326" t="inlineStr">
        <is>
          <t>SO-2503-10324</t>
        </is>
      </c>
      <c r="B326" s="1" t="n">
        <v>45738</v>
      </c>
      <c r="C326" t="inlineStr">
        <is>
          <t>West</t>
        </is>
      </c>
      <c r="D326" t="inlineStr">
        <is>
          <t>CO</t>
        </is>
      </c>
      <c r="E326" t="inlineStr">
        <is>
          <t>Denver</t>
        </is>
      </c>
      <c r="F326" t="inlineStr">
        <is>
          <t>In-Store</t>
        </is>
      </c>
      <c r="G326" t="inlineStr">
        <is>
          <t>Corporate</t>
        </is>
      </c>
      <c r="H326" t="inlineStr">
        <is>
          <t>Furniture</t>
        </is>
      </c>
      <c r="I326" t="inlineStr">
        <is>
          <t>Desk Chair</t>
        </is>
      </c>
      <c r="J326" s="2" t="n">
        <v>2</v>
      </c>
      <c r="K326" s="3" t="n">
        <v>114.7</v>
      </c>
      <c r="L326" s="3" t="n">
        <v>229.4</v>
      </c>
      <c r="M326" s="3" t="n">
        <v>160.39</v>
      </c>
      <c r="N326" s="3" t="n">
        <v>69.01000000000001</v>
      </c>
    </row>
    <row r="327">
      <c r="A327" t="inlineStr">
        <is>
          <t>SO-2407-10325</t>
        </is>
      </c>
      <c r="B327" s="1" t="n">
        <v>45497</v>
      </c>
      <c r="C327" t="inlineStr">
        <is>
          <t>Northeast</t>
        </is>
      </c>
      <c r="D327" t="inlineStr">
        <is>
          <t>NY</t>
        </is>
      </c>
      <c r="E327" t="inlineStr">
        <is>
          <t>New York</t>
        </is>
      </c>
      <c r="F327" t="inlineStr">
        <is>
          <t>In-Store</t>
        </is>
      </c>
      <c r="G327" t="inlineStr">
        <is>
          <t>Small Business</t>
        </is>
      </c>
      <c r="H327" t="inlineStr">
        <is>
          <t>Technology</t>
        </is>
      </c>
      <c r="I327" t="inlineStr">
        <is>
          <t>Laptop Stand</t>
        </is>
      </c>
      <c r="J327" s="2" t="n">
        <v>4</v>
      </c>
      <c r="K327" s="3" t="n">
        <v>29.91</v>
      </c>
      <c r="L327" s="3" t="n">
        <v>119.64</v>
      </c>
      <c r="M327" s="3" t="n">
        <v>89.54000000000001</v>
      </c>
      <c r="N327" s="3" t="n">
        <v>30.1</v>
      </c>
    </row>
    <row r="328">
      <c r="A328" t="inlineStr">
        <is>
          <t>SO-2403-10326</t>
        </is>
      </c>
      <c r="B328" s="1" t="n">
        <v>45370</v>
      </c>
      <c r="C328" t="inlineStr">
        <is>
          <t>South</t>
        </is>
      </c>
      <c r="D328" t="inlineStr">
        <is>
          <t>FL</t>
        </is>
      </c>
      <c r="E328" t="inlineStr">
        <is>
          <t>Miami</t>
        </is>
      </c>
      <c r="F328" t="inlineStr">
        <is>
          <t>Partner</t>
        </is>
      </c>
      <c r="G328" t="inlineStr">
        <is>
          <t>Consumer</t>
        </is>
      </c>
      <c r="H328" t="inlineStr">
        <is>
          <t>Furniture</t>
        </is>
      </c>
      <c r="I328" t="inlineStr">
        <is>
          <t>Bookshelf</t>
        </is>
      </c>
      <c r="J328" s="2" t="n">
        <v>1</v>
      </c>
      <c r="K328" s="3" t="n">
        <v>97.26000000000001</v>
      </c>
      <c r="L328" s="3" t="n">
        <v>97.26000000000001</v>
      </c>
      <c r="M328" s="3" t="n">
        <v>60.06</v>
      </c>
      <c r="N328" s="3" t="n">
        <v>37.2</v>
      </c>
    </row>
    <row r="329">
      <c r="A329" t="inlineStr">
        <is>
          <t>SO-2505-10327</t>
        </is>
      </c>
      <c r="B329" s="1" t="n">
        <v>45786</v>
      </c>
      <c r="C329" t="inlineStr">
        <is>
          <t>South</t>
        </is>
      </c>
      <c r="D329" t="inlineStr">
        <is>
          <t>TN</t>
        </is>
      </c>
      <c r="E329" t="inlineStr">
        <is>
          <t>Nashville</t>
        </is>
      </c>
      <c r="F329" t="inlineStr">
        <is>
          <t>Online</t>
        </is>
      </c>
      <c r="G329" t="inlineStr">
        <is>
          <t>Small Business</t>
        </is>
      </c>
      <c r="H329" t="inlineStr">
        <is>
          <t>Office Supplies</t>
        </is>
      </c>
      <c r="I329" t="inlineStr">
        <is>
          <t>Pens</t>
        </is>
      </c>
      <c r="J329" s="2" t="n">
        <v>2</v>
      </c>
      <c r="K329" s="3" t="n">
        <v>4.58</v>
      </c>
      <c r="L329" s="3" t="n">
        <v>9.16</v>
      </c>
      <c r="M329" s="3" t="n">
        <v>5.11</v>
      </c>
      <c r="N329" s="3" t="n">
        <v>4.05</v>
      </c>
    </row>
    <row r="330">
      <c r="A330" t="inlineStr">
        <is>
          <t>SO-2401-10328</t>
        </is>
      </c>
      <c r="B330" s="1" t="n">
        <v>45298</v>
      </c>
      <c r="C330" t="inlineStr">
        <is>
          <t>West</t>
        </is>
      </c>
      <c r="D330" t="inlineStr">
        <is>
          <t>WA</t>
        </is>
      </c>
      <c r="E330" t="inlineStr">
        <is>
          <t>Seattle</t>
        </is>
      </c>
      <c r="F330" t="inlineStr">
        <is>
          <t>Online</t>
        </is>
      </c>
      <c r="G330" t="inlineStr">
        <is>
          <t>Small Business</t>
        </is>
      </c>
      <c r="H330" t="inlineStr">
        <is>
          <t>Technology</t>
        </is>
      </c>
      <c r="I330" t="inlineStr">
        <is>
          <t>Mouse</t>
        </is>
      </c>
      <c r="J330" s="2" t="n">
        <v>2</v>
      </c>
      <c r="K330" s="3" t="n">
        <v>22.22</v>
      </c>
      <c r="L330" s="3" t="n">
        <v>44.44</v>
      </c>
      <c r="M330" s="3" t="n">
        <v>29.34</v>
      </c>
      <c r="N330" s="3" t="n">
        <v>15.1</v>
      </c>
    </row>
    <row r="331">
      <c r="A331" t="inlineStr">
        <is>
          <t>SO-2503-10329</t>
        </is>
      </c>
      <c r="B331" s="1" t="n">
        <v>45722</v>
      </c>
      <c r="C331" t="inlineStr">
        <is>
          <t>Midwest</t>
        </is>
      </c>
      <c r="D331" t="inlineStr">
        <is>
          <t>MI</t>
        </is>
      </c>
      <c r="E331" t="inlineStr">
        <is>
          <t>Detroit</t>
        </is>
      </c>
      <c r="F331" t="inlineStr">
        <is>
          <t>Partner</t>
        </is>
      </c>
      <c r="G331" t="inlineStr">
        <is>
          <t>Consumer</t>
        </is>
      </c>
      <c r="H331" t="inlineStr">
        <is>
          <t>Office Supplies</t>
        </is>
      </c>
      <c r="I331" t="inlineStr">
        <is>
          <t>Binders</t>
        </is>
      </c>
      <c r="J331" s="2" t="n">
        <v>1</v>
      </c>
      <c r="K331" s="3" t="n">
        <v>9.640000000000001</v>
      </c>
      <c r="L331" s="3" t="n">
        <v>9.640000000000001</v>
      </c>
      <c r="M331" s="3" t="n">
        <v>6.26</v>
      </c>
      <c r="N331" s="3" t="n">
        <v>3.38</v>
      </c>
    </row>
    <row r="332">
      <c r="A332" t="inlineStr">
        <is>
          <t>SO-2402-10330</t>
        </is>
      </c>
      <c r="B332" s="1" t="n">
        <v>45345</v>
      </c>
      <c r="C332" t="inlineStr">
        <is>
          <t>Midwest</t>
        </is>
      </c>
      <c r="D332" t="inlineStr">
        <is>
          <t>MI</t>
        </is>
      </c>
      <c r="E332" t="inlineStr">
        <is>
          <t>Detroit</t>
        </is>
      </c>
      <c r="F332" t="inlineStr">
        <is>
          <t>Online</t>
        </is>
      </c>
      <c r="G332" t="inlineStr">
        <is>
          <t>Small Business</t>
        </is>
      </c>
      <c r="H332" t="inlineStr">
        <is>
          <t>Office Supplies</t>
        </is>
      </c>
      <c r="I332" t="inlineStr">
        <is>
          <t>Stapler</t>
        </is>
      </c>
      <c r="J332" s="2" t="n">
        <v>1</v>
      </c>
      <c r="K332" s="3" t="n">
        <v>14.17</v>
      </c>
      <c r="L332" s="3" t="n">
        <v>14.17</v>
      </c>
      <c r="M332" s="3" t="n">
        <v>9.609999999999999</v>
      </c>
      <c r="N332" s="3" t="n">
        <v>4.56</v>
      </c>
    </row>
    <row r="333">
      <c r="A333" t="inlineStr">
        <is>
          <t>SO-2504-10331</t>
        </is>
      </c>
      <c r="B333" s="1" t="n">
        <v>45759</v>
      </c>
      <c r="C333" t="inlineStr">
        <is>
          <t>Midwest</t>
        </is>
      </c>
      <c r="D333" t="inlineStr">
        <is>
          <t>MN</t>
        </is>
      </c>
      <c r="E333" t="inlineStr">
        <is>
          <t>Minneapolis</t>
        </is>
      </c>
      <c r="F333" t="inlineStr">
        <is>
          <t>Partner</t>
        </is>
      </c>
      <c r="G333" t="inlineStr">
        <is>
          <t>Small Business</t>
        </is>
      </c>
      <c r="H333" t="inlineStr">
        <is>
          <t>Furniture</t>
        </is>
      </c>
      <c r="I333" t="inlineStr">
        <is>
          <t>Filing Cabinet</t>
        </is>
      </c>
      <c r="J333" s="2" t="n">
        <v>2</v>
      </c>
      <c r="K333" s="3" t="n">
        <v>170.06</v>
      </c>
      <c r="L333" s="3" t="n">
        <v>340.12</v>
      </c>
      <c r="M333" s="3" t="n">
        <v>217.03</v>
      </c>
      <c r="N333" s="3" t="n">
        <v>123.09</v>
      </c>
    </row>
    <row r="334">
      <c r="A334" t="inlineStr">
        <is>
          <t>SO-2503-10332</t>
        </is>
      </c>
      <c r="B334" s="1" t="n">
        <v>45741</v>
      </c>
      <c r="C334" t="inlineStr">
        <is>
          <t>South</t>
        </is>
      </c>
      <c r="D334" t="inlineStr">
        <is>
          <t>FL</t>
        </is>
      </c>
      <c r="E334" t="inlineStr">
        <is>
          <t>Miami</t>
        </is>
      </c>
      <c r="F334" t="inlineStr">
        <is>
          <t>In-Store</t>
        </is>
      </c>
      <c r="G334" t="inlineStr">
        <is>
          <t>Consumer</t>
        </is>
      </c>
      <c r="H334" t="inlineStr">
        <is>
          <t>Office Supplies</t>
        </is>
      </c>
      <c r="I334" t="inlineStr">
        <is>
          <t>Paper</t>
        </is>
      </c>
      <c r="J334" s="2" t="n">
        <v>2</v>
      </c>
      <c r="K334" s="3" t="n">
        <v>6.8</v>
      </c>
      <c r="L334" s="3" t="n">
        <v>13.6</v>
      </c>
      <c r="M334" s="3" t="n">
        <v>8.630000000000001</v>
      </c>
      <c r="N334" s="3" t="n">
        <v>4.97</v>
      </c>
    </row>
    <row r="335">
      <c r="A335" t="inlineStr">
        <is>
          <t>SO-2405-10333</t>
        </is>
      </c>
      <c r="B335" s="1" t="n">
        <v>45419</v>
      </c>
      <c r="C335" t="inlineStr">
        <is>
          <t>Northeast</t>
        </is>
      </c>
      <c r="D335" t="inlineStr">
        <is>
          <t>NJ</t>
        </is>
      </c>
      <c r="E335" t="inlineStr">
        <is>
          <t>Newark</t>
        </is>
      </c>
      <c r="F335" t="inlineStr">
        <is>
          <t>Online</t>
        </is>
      </c>
      <c r="G335" t="inlineStr">
        <is>
          <t>Consumer</t>
        </is>
      </c>
      <c r="H335" t="inlineStr">
        <is>
          <t>Technology</t>
        </is>
      </c>
      <c r="I335" t="inlineStr">
        <is>
          <t>Laptop Stand</t>
        </is>
      </c>
      <c r="J335" s="2" t="n">
        <v>3</v>
      </c>
      <c r="K335" s="3" t="n">
        <v>27.33</v>
      </c>
      <c r="L335" s="3" t="n">
        <v>81.98999999999999</v>
      </c>
      <c r="M335" s="3" t="n">
        <v>51.85</v>
      </c>
      <c r="N335" s="3" t="n">
        <v>30.14</v>
      </c>
    </row>
    <row r="336">
      <c r="A336" t="inlineStr">
        <is>
          <t>SO-2511-10334</t>
        </is>
      </c>
      <c r="B336" s="1" t="n">
        <v>45982</v>
      </c>
      <c r="C336" t="inlineStr">
        <is>
          <t>South</t>
        </is>
      </c>
      <c r="D336" t="inlineStr">
        <is>
          <t>TN</t>
        </is>
      </c>
      <c r="E336" t="inlineStr">
        <is>
          <t>Nashville</t>
        </is>
      </c>
      <c r="F336" t="inlineStr">
        <is>
          <t>Partner</t>
        </is>
      </c>
      <c r="G336" t="inlineStr">
        <is>
          <t>Small Business</t>
        </is>
      </c>
      <c r="H336" t="inlineStr">
        <is>
          <t>Office Supplies</t>
        </is>
      </c>
      <c r="I336" t="inlineStr">
        <is>
          <t>Paper</t>
        </is>
      </c>
      <c r="J336" s="2" t="n">
        <v>4</v>
      </c>
      <c r="K336" s="3" t="n">
        <v>7.88</v>
      </c>
      <c r="L336" s="3" t="n">
        <v>31.52</v>
      </c>
      <c r="M336" s="3" t="n">
        <v>19.99</v>
      </c>
      <c r="N336" s="3" t="n">
        <v>11.53</v>
      </c>
    </row>
    <row r="337">
      <c r="A337" t="inlineStr">
        <is>
          <t>SO-2404-10335</t>
        </is>
      </c>
      <c r="B337" s="1" t="n">
        <v>45389</v>
      </c>
      <c r="C337" t="inlineStr">
        <is>
          <t>Midwest</t>
        </is>
      </c>
      <c r="D337" t="inlineStr">
        <is>
          <t>OH</t>
        </is>
      </c>
      <c r="E337" t="inlineStr">
        <is>
          <t>Columbus</t>
        </is>
      </c>
      <c r="F337" t="inlineStr">
        <is>
          <t>Online</t>
        </is>
      </c>
      <c r="G337" t="inlineStr">
        <is>
          <t>Consumer</t>
        </is>
      </c>
      <c r="H337" t="inlineStr">
        <is>
          <t>Furniture</t>
        </is>
      </c>
      <c r="I337" t="inlineStr">
        <is>
          <t>Standing Desk</t>
        </is>
      </c>
      <c r="J337" s="2" t="n">
        <v>5</v>
      </c>
      <c r="K337" s="3" t="n">
        <v>268.11</v>
      </c>
      <c r="L337" s="3" t="n">
        <v>1340.55</v>
      </c>
      <c r="M337" s="3" t="n">
        <v>800.5</v>
      </c>
      <c r="N337" s="3" t="n">
        <v>540.05</v>
      </c>
    </row>
    <row r="338">
      <c r="A338" t="inlineStr">
        <is>
          <t>SO-2512-10336</t>
        </is>
      </c>
      <c r="B338" s="1" t="n">
        <v>46004</v>
      </c>
      <c r="C338" t="inlineStr">
        <is>
          <t>South</t>
        </is>
      </c>
      <c r="D338" t="inlineStr">
        <is>
          <t>TN</t>
        </is>
      </c>
      <c r="E338" t="inlineStr">
        <is>
          <t>Nashville</t>
        </is>
      </c>
      <c r="F338" t="inlineStr">
        <is>
          <t>Online</t>
        </is>
      </c>
      <c r="G338" t="inlineStr">
        <is>
          <t>Consumer</t>
        </is>
      </c>
      <c r="H338" t="inlineStr">
        <is>
          <t>Office Supplies</t>
        </is>
      </c>
      <c r="I338" t="inlineStr">
        <is>
          <t>Binders</t>
        </is>
      </c>
      <c r="J338" s="2" t="n">
        <v>4</v>
      </c>
      <c r="K338" s="3" t="n">
        <v>10.61</v>
      </c>
      <c r="L338" s="3" t="n">
        <v>42.44</v>
      </c>
      <c r="M338" s="3" t="n">
        <v>26.16</v>
      </c>
      <c r="N338" s="3" t="n">
        <v>16.28</v>
      </c>
    </row>
    <row r="339">
      <c r="A339" t="inlineStr">
        <is>
          <t>SO-2411-10337</t>
        </is>
      </c>
      <c r="B339" s="1" t="n">
        <v>45608</v>
      </c>
      <c r="C339" t="inlineStr">
        <is>
          <t>Northeast</t>
        </is>
      </c>
      <c r="D339" t="inlineStr">
        <is>
          <t>NJ</t>
        </is>
      </c>
      <c r="E339" t="inlineStr">
        <is>
          <t>Newark</t>
        </is>
      </c>
      <c r="F339" t="inlineStr">
        <is>
          <t>In-Store</t>
        </is>
      </c>
      <c r="G339" t="inlineStr">
        <is>
          <t>Corporate</t>
        </is>
      </c>
      <c r="H339" t="inlineStr">
        <is>
          <t>Technology</t>
        </is>
      </c>
      <c r="I339" t="inlineStr">
        <is>
          <t>Keyboard</t>
        </is>
      </c>
      <c r="J339" s="2" t="n">
        <v>4</v>
      </c>
      <c r="K339" s="3" t="n">
        <v>44.49</v>
      </c>
      <c r="L339" s="3" t="n">
        <v>177.96</v>
      </c>
      <c r="M339" s="3" t="n">
        <v>129.42</v>
      </c>
      <c r="N339" s="3" t="n">
        <v>48.54</v>
      </c>
    </row>
    <row r="340">
      <c r="A340" t="inlineStr">
        <is>
          <t>SO-2408-10338</t>
        </is>
      </c>
      <c r="B340" s="1" t="n">
        <v>45520</v>
      </c>
      <c r="C340" t="inlineStr">
        <is>
          <t>Northeast</t>
        </is>
      </c>
      <c r="D340" t="inlineStr">
        <is>
          <t>MA</t>
        </is>
      </c>
      <c r="E340" t="inlineStr">
        <is>
          <t>Boston</t>
        </is>
      </c>
      <c r="F340" t="inlineStr">
        <is>
          <t>Partner</t>
        </is>
      </c>
      <c r="G340" t="inlineStr">
        <is>
          <t>Small Business</t>
        </is>
      </c>
      <c r="H340" t="inlineStr">
        <is>
          <t>Furniture</t>
        </is>
      </c>
      <c r="I340" t="inlineStr">
        <is>
          <t>Standing Desk</t>
        </is>
      </c>
      <c r="J340" s="2" t="n">
        <v>3</v>
      </c>
      <c r="K340" s="3" t="n">
        <v>290.23</v>
      </c>
      <c r="L340" s="3" t="n">
        <v>870.6900000000001</v>
      </c>
      <c r="M340" s="3" t="n">
        <v>599.85</v>
      </c>
      <c r="N340" s="3" t="n">
        <v>270.84</v>
      </c>
    </row>
    <row r="341">
      <c r="A341" t="inlineStr">
        <is>
          <t>SO-2412-10339</t>
        </is>
      </c>
      <c r="B341" s="1" t="n">
        <v>45652</v>
      </c>
      <c r="C341" t="inlineStr">
        <is>
          <t>South</t>
        </is>
      </c>
      <c r="D341" t="inlineStr">
        <is>
          <t>AL</t>
        </is>
      </c>
      <c r="E341" t="inlineStr">
        <is>
          <t>Birmingham</t>
        </is>
      </c>
      <c r="F341" t="inlineStr">
        <is>
          <t>Online</t>
        </is>
      </c>
      <c r="G341" t="inlineStr">
        <is>
          <t>Small Business</t>
        </is>
      </c>
      <c r="H341" t="inlineStr">
        <is>
          <t>Technology</t>
        </is>
      </c>
      <c r="I341" t="inlineStr">
        <is>
          <t>Keyboard</t>
        </is>
      </c>
      <c r="J341" s="2" t="n">
        <v>3</v>
      </c>
      <c r="K341" s="3" t="n">
        <v>42.73</v>
      </c>
      <c r="L341" s="3" t="n">
        <v>128.19</v>
      </c>
      <c r="M341" s="3" t="n">
        <v>92.58</v>
      </c>
      <c r="N341" s="3" t="n">
        <v>35.61</v>
      </c>
    </row>
    <row r="342">
      <c r="A342" t="inlineStr">
        <is>
          <t>SO-2404-10340</t>
        </is>
      </c>
      <c r="B342" s="1" t="n">
        <v>45387</v>
      </c>
      <c r="C342" t="inlineStr">
        <is>
          <t>Northeast</t>
        </is>
      </c>
      <c r="D342" t="inlineStr">
        <is>
          <t>NY</t>
        </is>
      </c>
      <c r="E342" t="inlineStr">
        <is>
          <t>New York</t>
        </is>
      </c>
      <c r="F342" t="inlineStr">
        <is>
          <t>Online</t>
        </is>
      </c>
      <c r="G342" t="inlineStr">
        <is>
          <t>Corporate</t>
        </is>
      </c>
      <c r="H342" t="inlineStr">
        <is>
          <t>Technology</t>
        </is>
      </c>
      <c r="I342" t="inlineStr">
        <is>
          <t>Laptop Stand</t>
        </is>
      </c>
      <c r="J342" s="2" t="n">
        <v>1</v>
      </c>
      <c r="K342" s="3" t="n">
        <v>28.62</v>
      </c>
      <c r="L342" s="3" t="n">
        <v>28.62</v>
      </c>
      <c r="M342" s="3" t="n">
        <v>19.73</v>
      </c>
      <c r="N342" s="3" t="n">
        <v>8.890000000000001</v>
      </c>
    </row>
    <row r="343">
      <c r="A343" t="inlineStr">
        <is>
          <t>SO-2408-10341</t>
        </is>
      </c>
      <c r="B343" s="1" t="n">
        <v>45524</v>
      </c>
      <c r="C343" t="inlineStr">
        <is>
          <t>Midwest</t>
        </is>
      </c>
      <c r="D343" t="inlineStr">
        <is>
          <t>MI</t>
        </is>
      </c>
      <c r="E343" t="inlineStr">
        <is>
          <t>Detroit</t>
        </is>
      </c>
      <c r="F343" t="inlineStr">
        <is>
          <t>Partner</t>
        </is>
      </c>
      <c r="G343" t="inlineStr">
        <is>
          <t>Corporate</t>
        </is>
      </c>
      <c r="H343" t="inlineStr">
        <is>
          <t>Furniture</t>
        </is>
      </c>
      <c r="I343" t="inlineStr">
        <is>
          <t>Desk Chair</t>
        </is>
      </c>
      <c r="J343" s="2" t="n">
        <v>2</v>
      </c>
      <c r="K343" s="3" t="n">
        <v>118.34</v>
      </c>
      <c r="L343" s="3" t="n">
        <v>236.68</v>
      </c>
      <c r="M343" s="3" t="n">
        <v>168.06</v>
      </c>
      <c r="N343" s="3" t="n">
        <v>68.62</v>
      </c>
    </row>
    <row r="344">
      <c r="A344" t="inlineStr">
        <is>
          <t>SO-2412-10342</t>
        </is>
      </c>
      <c r="B344" s="1" t="n">
        <v>45650</v>
      </c>
      <c r="C344" t="inlineStr">
        <is>
          <t>South</t>
        </is>
      </c>
      <c r="D344" t="inlineStr">
        <is>
          <t>GA</t>
        </is>
      </c>
      <c r="E344" t="inlineStr">
        <is>
          <t>Atlanta</t>
        </is>
      </c>
      <c r="F344" t="inlineStr">
        <is>
          <t>In-Store</t>
        </is>
      </c>
      <c r="G344" t="inlineStr">
        <is>
          <t>Corporate</t>
        </is>
      </c>
      <c r="H344" t="inlineStr">
        <is>
          <t>Office Supplies</t>
        </is>
      </c>
      <c r="I344" t="inlineStr">
        <is>
          <t>Binders</t>
        </is>
      </c>
      <c r="J344" s="2" t="n">
        <v>1</v>
      </c>
      <c r="K344" s="3" t="n">
        <v>9.07</v>
      </c>
      <c r="L344" s="3" t="n">
        <v>9.07</v>
      </c>
      <c r="M344" s="3" t="n">
        <v>5.2</v>
      </c>
      <c r="N344" s="3" t="n">
        <v>3.87</v>
      </c>
    </row>
    <row r="345">
      <c r="A345" t="inlineStr">
        <is>
          <t>SO-2507-10343</t>
        </is>
      </c>
      <c r="B345" s="1" t="n">
        <v>45864</v>
      </c>
      <c r="C345" t="inlineStr">
        <is>
          <t>Northeast</t>
        </is>
      </c>
      <c r="D345" t="inlineStr">
        <is>
          <t>PA</t>
        </is>
      </c>
      <c r="E345" t="inlineStr">
        <is>
          <t>Philadelphia</t>
        </is>
      </c>
      <c r="F345" t="inlineStr">
        <is>
          <t>In-Store</t>
        </is>
      </c>
      <c r="G345" t="inlineStr">
        <is>
          <t>Consumer</t>
        </is>
      </c>
      <c r="H345" t="inlineStr">
        <is>
          <t>Furniture</t>
        </is>
      </c>
      <c r="I345" t="inlineStr">
        <is>
          <t>Bookshelf</t>
        </is>
      </c>
      <c r="J345" s="2" t="n">
        <v>2</v>
      </c>
      <c r="K345" s="3" t="n">
        <v>81.31999999999999</v>
      </c>
      <c r="L345" s="3" t="n">
        <v>162.64</v>
      </c>
      <c r="M345" s="3" t="n">
        <v>96.25</v>
      </c>
      <c r="N345" s="3" t="n">
        <v>66.39</v>
      </c>
    </row>
    <row r="346">
      <c r="A346" t="inlineStr">
        <is>
          <t>SO-2510-10344</t>
        </is>
      </c>
      <c r="B346" s="1" t="n">
        <v>45954</v>
      </c>
      <c r="C346" t="inlineStr">
        <is>
          <t>South</t>
        </is>
      </c>
      <c r="D346" t="inlineStr">
        <is>
          <t>AL</t>
        </is>
      </c>
      <c r="E346" t="inlineStr">
        <is>
          <t>Birmingham</t>
        </is>
      </c>
      <c r="F346" t="inlineStr">
        <is>
          <t>Partner</t>
        </is>
      </c>
      <c r="G346" t="inlineStr">
        <is>
          <t>Consumer</t>
        </is>
      </c>
      <c r="H346" t="inlineStr">
        <is>
          <t>Furniture</t>
        </is>
      </c>
      <c r="I346" t="inlineStr">
        <is>
          <t>Filing Cabinet</t>
        </is>
      </c>
      <c r="J346" s="2" t="n">
        <v>2</v>
      </c>
      <c r="K346" s="3" t="n">
        <v>158.14</v>
      </c>
      <c r="L346" s="3" t="n">
        <v>316.28</v>
      </c>
      <c r="M346" s="3" t="n">
        <v>188.67</v>
      </c>
      <c r="N346" s="3" t="n">
        <v>127.61</v>
      </c>
    </row>
    <row r="347">
      <c r="A347" t="inlineStr">
        <is>
          <t>SO-2404-10345</t>
        </is>
      </c>
      <c r="B347" s="1" t="n">
        <v>45384</v>
      </c>
      <c r="C347" t="inlineStr">
        <is>
          <t>West</t>
        </is>
      </c>
      <c r="D347" t="inlineStr">
        <is>
          <t>AZ</t>
        </is>
      </c>
      <c r="E347" t="inlineStr">
        <is>
          <t>Phoenix</t>
        </is>
      </c>
      <c r="F347" t="inlineStr">
        <is>
          <t>In-Store</t>
        </is>
      </c>
      <c r="G347" t="inlineStr">
        <is>
          <t>Consumer</t>
        </is>
      </c>
      <c r="H347" t="inlineStr">
        <is>
          <t>Office Supplies</t>
        </is>
      </c>
      <c r="I347" t="inlineStr">
        <is>
          <t>Binders</t>
        </is>
      </c>
      <c r="J347" s="2" t="n">
        <v>3</v>
      </c>
      <c r="K347" s="3" t="n">
        <v>10.67</v>
      </c>
      <c r="L347" s="3" t="n">
        <v>32.01</v>
      </c>
      <c r="M347" s="3" t="n">
        <v>21.13</v>
      </c>
      <c r="N347" s="3" t="n">
        <v>10.88</v>
      </c>
    </row>
    <row r="348">
      <c r="A348" t="inlineStr">
        <is>
          <t>SO-2507-10346</t>
        </is>
      </c>
      <c r="B348" s="1" t="n">
        <v>45840</v>
      </c>
      <c r="C348" t="inlineStr">
        <is>
          <t>West</t>
        </is>
      </c>
      <c r="D348" t="inlineStr">
        <is>
          <t>AZ</t>
        </is>
      </c>
      <c r="E348" t="inlineStr">
        <is>
          <t>Phoenix</t>
        </is>
      </c>
      <c r="F348" t="inlineStr">
        <is>
          <t>Partner</t>
        </is>
      </c>
      <c r="G348" t="inlineStr">
        <is>
          <t>Consumer</t>
        </is>
      </c>
      <c r="H348" t="inlineStr">
        <is>
          <t>Office Supplies</t>
        </is>
      </c>
      <c r="I348" t="inlineStr">
        <is>
          <t>Binders</t>
        </is>
      </c>
      <c r="J348" s="2" t="n">
        <v>3</v>
      </c>
      <c r="K348" s="3" t="n">
        <v>8.77</v>
      </c>
      <c r="L348" s="3" t="n">
        <v>26.31</v>
      </c>
      <c r="M348" s="3" t="n">
        <v>17.94</v>
      </c>
      <c r="N348" s="3" t="n">
        <v>8.369999999999999</v>
      </c>
    </row>
    <row r="349">
      <c r="A349" t="inlineStr">
        <is>
          <t>SO-2410-10347</t>
        </is>
      </c>
      <c r="B349" s="1" t="n">
        <v>45582</v>
      </c>
      <c r="C349" t="inlineStr">
        <is>
          <t>Midwest</t>
        </is>
      </c>
      <c r="D349" t="inlineStr">
        <is>
          <t>MN</t>
        </is>
      </c>
      <c r="E349" t="inlineStr">
        <is>
          <t>Minneapolis</t>
        </is>
      </c>
      <c r="F349" t="inlineStr">
        <is>
          <t>In-Store</t>
        </is>
      </c>
      <c r="G349" t="inlineStr">
        <is>
          <t>Small Business</t>
        </is>
      </c>
      <c r="H349" t="inlineStr">
        <is>
          <t>Office Supplies</t>
        </is>
      </c>
      <c r="I349" t="inlineStr">
        <is>
          <t>Pens</t>
        </is>
      </c>
      <c r="J349" s="2" t="n">
        <v>1</v>
      </c>
      <c r="K349" s="3" t="n">
        <v>4.58</v>
      </c>
      <c r="L349" s="3" t="n">
        <v>4.58</v>
      </c>
      <c r="M349" s="3" t="n">
        <v>2.55</v>
      </c>
      <c r="N349" s="3" t="n">
        <v>2.03</v>
      </c>
    </row>
    <row r="350">
      <c r="A350" t="inlineStr">
        <is>
          <t>SO-2512-10348</t>
        </is>
      </c>
      <c r="B350" s="1" t="n">
        <v>46010</v>
      </c>
      <c r="C350" t="inlineStr">
        <is>
          <t>Northeast</t>
        </is>
      </c>
      <c r="D350" t="inlineStr">
        <is>
          <t>MA</t>
        </is>
      </c>
      <c r="E350" t="inlineStr">
        <is>
          <t>Boston</t>
        </is>
      </c>
      <c r="F350" t="inlineStr">
        <is>
          <t>Partner</t>
        </is>
      </c>
      <c r="G350" t="inlineStr">
        <is>
          <t>Consumer</t>
        </is>
      </c>
      <c r="H350" t="inlineStr">
        <is>
          <t>Office Supplies</t>
        </is>
      </c>
      <c r="I350" t="inlineStr">
        <is>
          <t>Pens</t>
        </is>
      </c>
      <c r="J350" s="2" t="n">
        <v>2</v>
      </c>
      <c r="K350" s="3" t="n">
        <v>5.02</v>
      </c>
      <c r="L350" s="3" t="n">
        <v>10.04</v>
      </c>
      <c r="M350" s="3" t="n">
        <v>5.54</v>
      </c>
      <c r="N350" s="3" t="n">
        <v>4.5</v>
      </c>
    </row>
    <row r="351">
      <c r="A351" t="inlineStr">
        <is>
          <t>SO-2404-10349</t>
        </is>
      </c>
      <c r="B351" s="1" t="n">
        <v>45404</v>
      </c>
      <c r="C351" t="inlineStr">
        <is>
          <t>Northeast</t>
        </is>
      </c>
      <c r="D351" t="inlineStr">
        <is>
          <t>NY</t>
        </is>
      </c>
      <c r="E351" t="inlineStr">
        <is>
          <t>New York</t>
        </is>
      </c>
      <c r="F351" t="inlineStr">
        <is>
          <t>In-Store</t>
        </is>
      </c>
      <c r="G351" t="inlineStr">
        <is>
          <t>Small Business</t>
        </is>
      </c>
      <c r="H351" t="inlineStr">
        <is>
          <t>Office Supplies</t>
        </is>
      </c>
      <c r="I351" t="inlineStr">
        <is>
          <t>Pens</t>
        </is>
      </c>
      <c r="J351" s="2" t="n">
        <v>2</v>
      </c>
      <c r="K351" s="3" t="n">
        <v>4.95</v>
      </c>
      <c r="L351" s="3" t="n">
        <v>9.9</v>
      </c>
      <c r="M351" s="3" t="n">
        <v>6.93</v>
      </c>
      <c r="N351" s="3" t="n">
        <v>2.97</v>
      </c>
    </row>
    <row r="352">
      <c r="A352" t="inlineStr">
        <is>
          <t>SO-2403-10350</t>
        </is>
      </c>
      <c r="B352" s="1" t="n">
        <v>45355</v>
      </c>
      <c r="C352" t="inlineStr">
        <is>
          <t>South</t>
        </is>
      </c>
      <c r="D352" t="inlineStr">
        <is>
          <t>GA</t>
        </is>
      </c>
      <c r="E352" t="inlineStr">
        <is>
          <t>Atlanta</t>
        </is>
      </c>
      <c r="F352" t="inlineStr">
        <is>
          <t>Online</t>
        </is>
      </c>
      <c r="G352" t="inlineStr">
        <is>
          <t>Consumer</t>
        </is>
      </c>
      <c r="H352" t="inlineStr">
        <is>
          <t>Furniture</t>
        </is>
      </c>
      <c r="I352" t="inlineStr">
        <is>
          <t>Standing Desk</t>
        </is>
      </c>
      <c r="J352" s="2" t="n">
        <v>2</v>
      </c>
      <c r="K352" s="3" t="n">
        <v>276.04</v>
      </c>
      <c r="L352" s="3" t="n">
        <v>552.08</v>
      </c>
      <c r="M352" s="3" t="n">
        <v>386.92</v>
      </c>
      <c r="N352" s="3" t="n">
        <v>165.16</v>
      </c>
    </row>
    <row r="353">
      <c r="A353" t="inlineStr">
        <is>
          <t>SO-2504-10351</t>
        </is>
      </c>
      <c r="B353" s="1" t="n">
        <v>45764</v>
      </c>
      <c r="C353" t="inlineStr">
        <is>
          <t>Midwest</t>
        </is>
      </c>
      <c r="D353" t="inlineStr">
        <is>
          <t>IL</t>
        </is>
      </c>
      <c r="E353" t="inlineStr">
        <is>
          <t>Chicago</t>
        </is>
      </c>
      <c r="F353" t="inlineStr">
        <is>
          <t>Partner</t>
        </is>
      </c>
      <c r="G353" t="inlineStr">
        <is>
          <t>Consumer</t>
        </is>
      </c>
      <c r="H353" t="inlineStr">
        <is>
          <t>Office Supplies</t>
        </is>
      </c>
      <c r="I353" t="inlineStr">
        <is>
          <t>Pens</t>
        </is>
      </c>
      <c r="J353" s="2" t="n">
        <v>5</v>
      </c>
      <c r="K353" s="3" t="n">
        <v>4.65</v>
      </c>
      <c r="L353" s="3" t="n">
        <v>23.25</v>
      </c>
      <c r="M353" s="3" t="n">
        <v>15.2</v>
      </c>
      <c r="N353" s="3" t="n">
        <v>8.050000000000001</v>
      </c>
    </row>
    <row r="354">
      <c r="A354" t="inlineStr">
        <is>
          <t>SO-2406-10352</t>
        </is>
      </c>
      <c r="B354" s="1" t="n">
        <v>45463</v>
      </c>
      <c r="C354" t="inlineStr">
        <is>
          <t>South</t>
        </is>
      </c>
      <c r="D354" t="inlineStr">
        <is>
          <t>FL</t>
        </is>
      </c>
      <c r="E354" t="inlineStr">
        <is>
          <t>Miami</t>
        </is>
      </c>
      <c r="F354" t="inlineStr">
        <is>
          <t>Online</t>
        </is>
      </c>
      <c r="G354" t="inlineStr">
        <is>
          <t>Corporate</t>
        </is>
      </c>
      <c r="H354" t="inlineStr">
        <is>
          <t>Technology</t>
        </is>
      </c>
      <c r="I354" t="inlineStr">
        <is>
          <t>Laptop Stand</t>
        </is>
      </c>
      <c r="J354" s="2" t="n">
        <v>3</v>
      </c>
      <c r="K354" s="3" t="n">
        <v>25.78</v>
      </c>
      <c r="L354" s="3" t="n">
        <v>77.34</v>
      </c>
      <c r="M354" s="3" t="n">
        <v>48.47</v>
      </c>
      <c r="N354" s="3" t="n">
        <v>28.87</v>
      </c>
    </row>
    <row r="355">
      <c r="A355" t="inlineStr">
        <is>
          <t>SO-2505-10353</t>
        </is>
      </c>
      <c r="B355" s="1" t="n">
        <v>45783</v>
      </c>
      <c r="C355" t="inlineStr">
        <is>
          <t>Northeast</t>
        </is>
      </c>
      <c r="D355" t="inlineStr">
        <is>
          <t>MA</t>
        </is>
      </c>
      <c r="E355" t="inlineStr">
        <is>
          <t>Boston</t>
        </is>
      </c>
      <c r="F355" t="inlineStr">
        <is>
          <t>Online</t>
        </is>
      </c>
      <c r="G355" t="inlineStr">
        <is>
          <t>Corporate</t>
        </is>
      </c>
      <c r="H355" t="inlineStr">
        <is>
          <t>Office Supplies</t>
        </is>
      </c>
      <c r="I355" t="inlineStr">
        <is>
          <t>Pens</t>
        </is>
      </c>
      <c r="J355" s="2" t="n">
        <v>5</v>
      </c>
      <c r="K355" s="3" t="n">
        <v>4.74</v>
      </c>
      <c r="L355" s="3" t="n">
        <v>23.7</v>
      </c>
      <c r="M355" s="3" t="n">
        <v>15.55</v>
      </c>
      <c r="N355" s="3" t="n">
        <v>8.15</v>
      </c>
    </row>
    <row r="356">
      <c r="A356" t="inlineStr">
        <is>
          <t>SO-2404-10354</t>
        </is>
      </c>
      <c r="B356" s="1" t="n">
        <v>45386</v>
      </c>
      <c r="C356" t="inlineStr">
        <is>
          <t>Midwest</t>
        </is>
      </c>
      <c r="D356" t="inlineStr">
        <is>
          <t>IL</t>
        </is>
      </c>
      <c r="E356" t="inlineStr">
        <is>
          <t>Chicago</t>
        </is>
      </c>
      <c r="F356" t="inlineStr">
        <is>
          <t>Partner</t>
        </is>
      </c>
      <c r="G356" t="inlineStr">
        <is>
          <t>Small Business</t>
        </is>
      </c>
      <c r="H356" t="inlineStr">
        <is>
          <t>Furniture</t>
        </is>
      </c>
      <c r="I356" t="inlineStr">
        <is>
          <t>Desk Chair</t>
        </is>
      </c>
      <c r="J356" s="2" t="n">
        <v>4</v>
      </c>
      <c r="K356" s="3" t="n">
        <v>118.25</v>
      </c>
      <c r="L356" s="3" t="n">
        <v>473</v>
      </c>
      <c r="M356" s="3" t="n">
        <v>337.59</v>
      </c>
      <c r="N356" s="3" t="n">
        <v>135.41</v>
      </c>
    </row>
    <row r="357">
      <c r="A357" t="inlineStr">
        <is>
          <t>SO-2504-10355</t>
        </is>
      </c>
      <c r="B357" s="1" t="n">
        <v>45769</v>
      </c>
      <c r="C357" t="inlineStr">
        <is>
          <t>Midwest</t>
        </is>
      </c>
      <c r="D357" t="inlineStr">
        <is>
          <t>OH</t>
        </is>
      </c>
      <c r="E357" t="inlineStr">
        <is>
          <t>Columbus</t>
        </is>
      </c>
      <c r="F357" t="inlineStr">
        <is>
          <t>Partner</t>
        </is>
      </c>
      <c r="G357" t="inlineStr">
        <is>
          <t>Small Business</t>
        </is>
      </c>
      <c r="H357" t="inlineStr">
        <is>
          <t>Technology</t>
        </is>
      </c>
      <c r="I357" t="inlineStr">
        <is>
          <t>Laptop Stand</t>
        </is>
      </c>
      <c r="J357" s="2" t="n">
        <v>3</v>
      </c>
      <c r="K357" s="3" t="n">
        <v>26.71</v>
      </c>
      <c r="L357" s="3" t="n">
        <v>80.13</v>
      </c>
      <c r="M357" s="3" t="n">
        <v>61.59</v>
      </c>
      <c r="N357" s="3" t="n">
        <v>18.54</v>
      </c>
    </row>
    <row r="358">
      <c r="A358" t="inlineStr">
        <is>
          <t>SO-2403-10356</t>
        </is>
      </c>
      <c r="B358" s="1" t="n">
        <v>45361</v>
      </c>
      <c r="C358" t="inlineStr">
        <is>
          <t>Northeast</t>
        </is>
      </c>
      <c r="D358" t="inlineStr">
        <is>
          <t>NJ</t>
        </is>
      </c>
      <c r="E358" t="inlineStr">
        <is>
          <t>Newark</t>
        </is>
      </c>
      <c r="F358" t="inlineStr">
        <is>
          <t>In-Store</t>
        </is>
      </c>
      <c r="G358" t="inlineStr">
        <is>
          <t>Consumer</t>
        </is>
      </c>
      <c r="H358" t="inlineStr">
        <is>
          <t>Technology</t>
        </is>
      </c>
      <c r="I358" t="inlineStr">
        <is>
          <t>Monitor</t>
        </is>
      </c>
      <c r="J358" s="2" t="n">
        <v>2</v>
      </c>
      <c r="K358" s="3" t="n">
        <v>193.38</v>
      </c>
      <c r="L358" s="3" t="n">
        <v>386.76</v>
      </c>
      <c r="M358" s="3" t="n">
        <v>277.67</v>
      </c>
      <c r="N358" s="3" t="n">
        <v>109.09</v>
      </c>
    </row>
    <row r="359">
      <c r="A359" t="inlineStr">
        <is>
          <t>SO-2512-10357</t>
        </is>
      </c>
      <c r="B359" s="1" t="n">
        <v>46019</v>
      </c>
      <c r="C359" t="inlineStr">
        <is>
          <t>Northeast</t>
        </is>
      </c>
      <c r="D359" t="inlineStr">
        <is>
          <t>MA</t>
        </is>
      </c>
      <c r="E359" t="inlineStr">
        <is>
          <t>Boston</t>
        </is>
      </c>
      <c r="F359" t="inlineStr">
        <is>
          <t>Online</t>
        </is>
      </c>
      <c r="G359" t="inlineStr">
        <is>
          <t>Corporate</t>
        </is>
      </c>
      <c r="H359" t="inlineStr">
        <is>
          <t>Furniture</t>
        </is>
      </c>
      <c r="I359" t="inlineStr">
        <is>
          <t>Filing Cabinet</t>
        </is>
      </c>
      <c r="J359" s="2" t="n">
        <v>1</v>
      </c>
      <c r="K359" s="3" t="n">
        <v>162.95</v>
      </c>
      <c r="L359" s="3" t="n">
        <v>162.95</v>
      </c>
      <c r="M359" s="3" t="n">
        <v>120.36</v>
      </c>
      <c r="N359" s="3" t="n">
        <v>42.59</v>
      </c>
    </row>
    <row r="360">
      <c r="A360" t="inlineStr">
        <is>
          <t>SO-2511-10358</t>
        </is>
      </c>
      <c r="B360" s="1" t="n">
        <v>45971</v>
      </c>
      <c r="C360" t="inlineStr">
        <is>
          <t>West</t>
        </is>
      </c>
      <c r="D360" t="inlineStr">
        <is>
          <t>AZ</t>
        </is>
      </c>
      <c r="E360" t="inlineStr">
        <is>
          <t>Phoenix</t>
        </is>
      </c>
      <c r="F360" t="inlineStr">
        <is>
          <t>Partner</t>
        </is>
      </c>
      <c r="G360" t="inlineStr">
        <is>
          <t>Corporate</t>
        </is>
      </c>
      <c r="H360" t="inlineStr">
        <is>
          <t>Technology</t>
        </is>
      </c>
      <c r="I360" t="inlineStr">
        <is>
          <t>Laptop Stand</t>
        </is>
      </c>
      <c r="J360" s="2" t="n">
        <v>3</v>
      </c>
      <c r="K360" s="3" t="n">
        <v>34.02</v>
      </c>
      <c r="L360" s="3" t="n">
        <v>102.06</v>
      </c>
      <c r="M360" s="3" t="n">
        <v>73.58</v>
      </c>
      <c r="N360" s="3" t="n">
        <v>28.48</v>
      </c>
    </row>
    <row r="361">
      <c r="A361" t="inlineStr">
        <is>
          <t>SO-2502-10359</t>
        </is>
      </c>
      <c r="B361" s="1" t="n">
        <v>45712</v>
      </c>
      <c r="C361" t="inlineStr">
        <is>
          <t>Midwest</t>
        </is>
      </c>
      <c r="D361" t="inlineStr">
        <is>
          <t>IL</t>
        </is>
      </c>
      <c r="E361" t="inlineStr">
        <is>
          <t>Chicago</t>
        </is>
      </c>
      <c r="F361" t="inlineStr">
        <is>
          <t>Partner</t>
        </is>
      </c>
      <c r="G361" t="inlineStr">
        <is>
          <t>Corporate</t>
        </is>
      </c>
      <c r="H361" t="inlineStr">
        <is>
          <t>Technology</t>
        </is>
      </c>
      <c r="I361" t="inlineStr">
        <is>
          <t>Laptop Stand</t>
        </is>
      </c>
      <c r="J361" s="2" t="n">
        <v>6</v>
      </c>
      <c r="K361" s="3" t="n">
        <v>30.92</v>
      </c>
      <c r="L361" s="3" t="n">
        <v>185.52</v>
      </c>
      <c r="M361" s="3" t="n">
        <v>140.64</v>
      </c>
      <c r="N361" s="3" t="n">
        <v>44.88</v>
      </c>
    </row>
    <row r="362">
      <c r="A362" t="inlineStr">
        <is>
          <t>SO-2412-10360</t>
        </is>
      </c>
      <c r="B362" s="1" t="n">
        <v>45635</v>
      </c>
      <c r="C362" t="inlineStr">
        <is>
          <t>West</t>
        </is>
      </c>
      <c r="D362" t="inlineStr">
        <is>
          <t>WA</t>
        </is>
      </c>
      <c r="E362" t="inlineStr">
        <is>
          <t>Seattle</t>
        </is>
      </c>
      <c r="F362" t="inlineStr">
        <is>
          <t>Online</t>
        </is>
      </c>
      <c r="G362" t="inlineStr">
        <is>
          <t>Corporate</t>
        </is>
      </c>
      <c r="H362" t="inlineStr">
        <is>
          <t>Technology</t>
        </is>
      </c>
      <c r="I362" t="inlineStr">
        <is>
          <t>Keyboard</t>
        </is>
      </c>
      <c r="J362" s="2" t="n">
        <v>1</v>
      </c>
      <c r="K362" s="3" t="n">
        <v>34.99</v>
      </c>
      <c r="L362" s="3" t="n">
        <v>34.99</v>
      </c>
      <c r="M362" s="3" t="n">
        <v>23.93</v>
      </c>
      <c r="N362" s="3" t="n">
        <v>11.06</v>
      </c>
    </row>
    <row r="363">
      <c r="A363" t="inlineStr">
        <is>
          <t>SO-2407-10361</t>
        </is>
      </c>
      <c r="B363" s="1" t="n">
        <v>45480</v>
      </c>
      <c r="C363" t="inlineStr">
        <is>
          <t>Northeast</t>
        </is>
      </c>
      <c r="D363" t="inlineStr">
        <is>
          <t>NJ</t>
        </is>
      </c>
      <c r="E363" t="inlineStr">
        <is>
          <t>Newark</t>
        </is>
      </c>
      <c r="F363" t="inlineStr">
        <is>
          <t>In-Store</t>
        </is>
      </c>
      <c r="G363" t="inlineStr">
        <is>
          <t>Corporate</t>
        </is>
      </c>
      <c r="H363" t="inlineStr">
        <is>
          <t>Technology</t>
        </is>
      </c>
      <c r="I363" t="inlineStr">
        <is>
          <t>Keyboard</t>
        </is>
      </c>
      <c r="J363" s="2" t="n">
        <v>2</v>
      </c>
      <c r="K363" s="3" t="n">
        <v>35.44</v>
      </c>
      <c r="L363" s="3" t="n">
        <v>70.88</v>
      </c>
      <c r="M363" s="3" t="n">
        <v>43.06</v>
      </c>
      <c r="N363" s="3" t="n">
        <v>27.82</v>
      </c>
    </row>
    <row r="364">
      <c r="A364" t="inlineStr">
        <is>
          <t>SO-2502-10362</t>
        </is>
      </c>
      <c r="B364" s="1" t="n">
        <v>45695</v>
      </c>
      <c r="C364" t="inlineStr">
        <is>
          <t>Midwest</t>
        </is>
      </c>
      <c r="D364" t="inlineStr">
        <is>
          <t>OH</t>
        </is>
      </c>
      <c r="E364" t="inlineStr">
        <is>
          <t>Columbus</t>
        </is>
      </c>
      <c r="F364" t="inlineStr">
        <is>
          <t>In-Store</t>
        </is>
      </c>
      <c r="G364" t="inlineStr">
        <is>
          <t>Corporate</t>
        </is>
      </c>
      <c r="H364" t="inlineStr">
        <is>
          <t>Technology</t>
        </is>
      </c>
      <c r="I364" t="inlineStr">
        <is>
          <t>Keyboard</t>
        </is>
      </c>
      <c r="J364" s="2" t="n">
        <v>1</v>
      </c>
      <c r="K364" s="3" t="n">
        <v>36.68</v>
      </c>
      <c r="L364" s="3" t="n">
        <v>36.68</v>
      </c>
      <c r="M364" s="3" t="n">
        <v>26.04</v>
      </c>
      <c r="N364" s="3" t="n">
        <v>10.64</v>
      </c>
    </row>
    <row r="365">
      <c r="A365" t="inlineStr">
        <is>
          <t>SO-2504-10363</t>
        </is>
      </c>
      <c r="B365" s="1" t="n">
        <v>45757</v>
      </c>
      <c r="C365" t="inlineStr">
        <is>
          <t>Midwest</t>
        </is>
      </c>
      <c r="D365" t="inlineStr">
        <is>
          <t>OH</t>
        </is>
      </c>
      <c r="E365" t="inlineStr">
        <is>
          <t>Columbus</t>
        </is>
      </c>
      <c r="F365" t="inlineStr">
        <is>
          <t>Partner</t>
        </is>
      </c>
      <c r="G365" t="inlineStr">
        <is>
          <t>Small Business</t>
        </is>
      </c>
      <c r="H365" t="inlineStr">
        <is>
          <t>Office Supplies</t>
        </is>
      </c>
      <c r="I365" t="inlineStr">
        <is>
          <t>Stapler</t>
        </is>
      </c>
      <c r="J365" s="2" t="n">
        <v>3</v>
      </c>
      <c r="K365" s="3" t="n">
        <v>13.1</v>
      </c>
      <c r="L365" s="3" t="n">
        <v>39.3</v>
      </c>
      <c r="M365" s="3" t="n">
        <v>21.62</v>
      </c>
      <c r="N365" s="3" t="n">
        <v>17.68</v>
      </c>
    </row>
    <row r="366">
      <c r="A366" t="inlineStr">
        <is>
          <t>SO-2405-10364</t>
        </is>
      </c>
      <c r="B366" s="1" t="n">
        <v>45430</v>
      </c>
      <c r="C366" t="inlineStr">
        <is>
          <t>Midwest</t>
        </is>
      </c>
      <c r="D366" t="inlineStr">
        <is>
          <t>MI</t>
        </is>
      </c>
      <c r="E366" t="inlineStr">
        <is>
          <t>Detroit</t>
        </is>
      </c>
      <c r="F366" t="inlineStr">
        <is>
          <t>In-Store</t>
        </is>
      </c>
      <c r="G366" t="inlineStr">
        <is>
          <t>Small Business</t>
        </is>
      </c>
      <c r="H366" t="inlineStr">
        <is>
          <t>Furniture</t>
        </is>
      </c>
      <c r="I366" t="inlineStr">
        <is>
          <t>Desk Chair</t>
        </is>
      </c>
      <c r="J366" s="2" t="n">
        <v>2</v>
      </c>
      <c r="K366" s="3" t="n">
        <v>148.88</v>
      </c>
      <c r="L366" s="3" t="n">
        <v>297.76</v>
      </c>
      <c r="M366" s="3" t="n">
        <v>206.42</v>
      </c>
      <c r="N366" s="3" t="n">
        <v>91.34</v>
      </c>
    </row>
    <row r="367">
      <c r="A367" t="inlineStr">
        <is>
          <t>SO-2510-10365</t>
        </is>
      </c>
      <c r="B367" s="1" t="n">
        <v>45939</v>
      </c>
      <c r="C367" t="inlineStr">
        <is>
          <t>West</t>
        </is>
      </c>
      <c r="D367" t="inlineStr">
        <is>
          <t>CA</t>
        </is>
      </c>
      <c r="E367" t="inlineStr">
        <is>
          <t>Los Angeles</t>
        </is>
      </c>
      <c r="F367" t="inlineStr">
        <is>
          <t>Partner</t>
        </is>
      </c>
      <c r="G367" t="inlineStr">
        <is>
          <t>Corporate</t>
        </is>
      </c>
      <c r="H367" t="inlineStr">
        <is>
          <t>Furniture</t>
        </is>
      </c>
      <c r="I367" t="inlineStr">
        <is>
          <t>Bookshelf</t>
        </is>
      </c>
      <c r="J367" s="2" t="n">
        <v>4</v>
      </c>
      <c r="K367" s="3" t="n">
        <v>88.48</v>
      </c>
      <c r="L367" s="3" t="n">
        <v>353.92</v>
      </c>
      <c r="M367" s="3" t="n">
        <v>245.05</v>
      </c>
      <c r="N367" s="3" t="n">
        <v>108.87</v>
      </c>
    </row>
    <row r="368">
      <c r="A368" t="inlineStr">
        <is>
          <t>SO-2405-10366</t>
        </is>
      </c>
      <c r="B368" s="1" t="n">
        <v>45413</v>
      </c>
      <c r="C368" t="inlineStr">
        <is>
          <t>South</t>
        </is>
      </c>
      <c r="D368" t="inlineStr">
        <is>
          <t>TN</t>
        </is>
      </c>
      <c r="E368" t="inlineStr">
        <is>
          <t>Nashville</t>
        </is>
      </c>
      <c r="F368" t="inlineStr">
        <is>
          <t>Partner</t>
        </is>
      </c>
      <c r="G368" t="inlineStr">
        <is>
          <t>Corporate</t>
        </is>
      </c>
      <c r="H368" t="inlineStr">
        <is>
          <t>Technology</t>
        </is>
      </c>
      <c r="I368" t="inlineStr">
        <is>
          <t>Monitor</t>
        </is>
      </c>
      <c r="J368" s="2" t="n">
        <v>7</v>
      </c>
      <c r="K368" s="3" t="n">
        <v>190.33</v>
      </c>
      <c r="L368" s="3" t="n">
        <v>1332.31</v>
      </c>
      <c r="M368" s="3" t="n">
        <v>1009.28</v>
      </c>
      <c r="N368" s="3" t="n">
        <v>323.03</v>
      </c>
    </row>
    <row r="369">
      <c r="A369" t="inlineStr">
        <is>
          <t>SO-2405-10367</t>
        </is>
      </c>
      <c r="B369" s="1" t="n">
        <v>45432</v>
      </c>
      <c r="C369" t="inlineStr">
        <is>
          <t>West</t>
        </is>
      </c>
      <c r="D369" t="inlineStr">
        <is>
          <t>AZ</t>
        </is>
      </c>
      <c r="E369" t="inlineStr">
        <is>
          <t>Phoenix</t>
        </is>
      </c>
      <c r="F369" t="inlineStr">
        <is>
          <t>Online</t>
        </is>
      </c>
      <c r="G369" t="inlineStr">
        <is>
          <t>Corporate</t>
        </is>
      </c>
      <c r="H369" t="inlineStr">
        <is>
          <t>Furniture</t>
        </is>
      </c>
      <c r="I369" t="inlineStr">
        <is>
          <t>Standing Desk</t>
        </is>
      </c>
      <c r="J369" s="2" t="n">
        <v>5</v>
      </c>
      <c r="K369" s="3" t="n">
        <v>320.59</v>
      </c>
      <c r="L369" s="3" t="n">
        <v>1602.95</v>
      </c>
      <c r="M369" s="3" t="n">
        <v>1018.33</v>
      </c>
      <c r="N369" s="3" t="n">
        <v>584.62</v>
      </c>
    </row>
    <row r="370">
      <c r="A370" t="inlineStr">
        <is>
          <t>SO-2510-10368</t>
        </is>
      </c>
      <c r="B370" s="1" t="n">
        <v>45934</v>
      </c>
      <c r="C370" t="inlineStr">
        <is>
          <t>Northeast</t>
        </is>
      </c>
      <c r="D370" t="inlineStr">
        <is>
          <t>MA</t>
        </is>
      </c>
      <c r="E370" t="inlineStr">
        <is>
          <t>Boston</t>
        </is>
      </c>
      <c r="F370" t="inlineStr">
        <is>
          <t>Online</t>
        </is>
      </c>
      <c r="G370" t="inlineStr">
        <is>
          <t>Corporate</t>
        </is>
      </c>
      <c r="H370" t="inlineStr">
        <is>
          <t>Furniture</t>
        </is>
      </c>
      <c r="I370" t="inlineStr">
        <is>
          <t>Desk Chair</t>
        </is>
      </c>
      <c r="J370" s="2" t="n">
        <v>3</v>
      </c>
      <c r="K370" s="3" t="n">
        <v>149.4</v>
      </c>
      <c r="L370" s="3" t="n">
        <v>448.2</v>
      </c>
      <c r="M370" s="3" t="n">
        <v>334.79</v>
      </c>
      <c r="N370" s="3" t="n">
        <v>113.41</v>
      </c>
    </row>
    <row r="371">
      <c r="A371" t="inlineStr">
        <is>
          <t>SO-2512-10369</t>
        </is>
      </c>
      <c r="B371" s="1" t="n">
        <v>46018</v>
      </c>
      <c r="C371" t="inlineStr">
        <is>
          <t>South</t>
        </is>
      </c>
      <c r="D371" t="inlineStr">
        <is>
          <t>TN</t>
        </is>
      </c>
      <c r="E371" t="inlineStr">
        <is>
          <t>Nashville</t>
        </is>
      </c>
      <c r="F371" t="inlineStr">
        <is>
          <t>In-Store</t>
        </is>
      </c>
      <c r="G371" t="inlineStr">
        <is>
          <t>Small Business</t>
        </is>
      </c>
      <c r="H371" t="inlineStr">
        <is>
          <t>Furniture</t>
        </is>
      </c>
      <c r="I371" t="inlineStr">
        <is>
          <t>Filing Cabinet</t>
        </is>
      </c>
      <c r="J371" s="2" t="n">
        <v>2</v>
      </c>
      <c r="K371" s="3" t="n">
        <v>167.13</v>
      </c>
      <c r="L371" s="3" t="n">
        <v>334.26</v>
      </c>
      <c r="M371" s="3" t="n">
        <v>215.49</v>
      </c>
      <c r="N371" s="3" t="n">
        <v>118.77</v>
      </c>
    </row>
    <row r="372">
      <c r="A372" t="inlineStr">
        <is>
          <t>SO-2506-10370</t>
        </is>
      </c>
      <c r="B372" s="1" t="n">
        <v>45820</v>
      </c>
      <c r="C372" t="inlineStr">
        <is>
          <t>Midwest</t>
        </is>
      </c>
      <c r="D372" t="inlineStr">
        <is>
          <t>MI</t>
        </is>
      </c>
      <c r="E372" t="inlineStr">
        <is>
          <t>Detroit</t>
        </is>
      </c>
      <c r="F372" t="inlineStr">
        <is>
          <t>Online</t>
        </is>
      </c>
      <c r="G372" t="inlineStr">
        <is>
          <t>Consumer</t>
        </is>
      </c>
      <c r="H372" t="inlineStr">
        <is>
          <t>Office Supplies</t>
        </is>
      </c>
      <c r="I372" t="inlineStr">
        <is>
          <t>Stapler</t>
        </is>
      </c>
      <c r="J372" s="2" t="n">
        <v>1</v>
      </c>
      <c r="K372" s="3" t="n">
        <v>14.26</v>
      </c>
      <c r="L372" s="3" t="n">
        <v>14.26</v>
      </c>
      <c r="M372" s="3" t="n">
        <v>9.539999999999999</v>
      </c>
      <c r="N372" s="3" t="n">
        <v>4.72</v>
      </c>
    </row>
    <row r="373">
      <c r="A373" t="inlineStr">
        <is>
          <t>SO-2501-10371</t>
        </is>
      </c>
      <c r="B373" s="1" t="n">
        <v>45660</v>
      </c>
      <c r="C373" t="inlineStr">
        <is>
          <t>Midwest</t>
        </is>
      </c>
      <c r="D373" t="inlineStr">
        <is>
          <t>OH</t>
        </is>
      </c>
      <c r="E373" t="inlineStr">
        <is>
          <t>Columbus</t>
        </is>
      </c>
      <c r="F373" t="inlineStr">
        <is>
          <t>Partner</t>
        </is>
      </c>
      <c r="G373" t="inlineStr">
        <is>
          <t>Consumer</t>
        </is>
      </c>
      <c r="H373" t="inlineStr">
        <is>
          <t>Furniture</t>
        </is>
      </c>
      <c r="I373" t="inlineStr">
        <is>
          <t>Bookshelf</t>
        </is>
      </c>
      <c r="J373" s="2" t="n">
        <v>6</v>
      </c>
      <c r="K373" s="3" t="n">
        <v>100.99</v>
      </c>
      <c r="L373" s="3" t="n">
        <v>605.9400000000001</v>
      </c>
      <c r="M373" s="3" t="n">
        <v>431.49</v>
      </c>
      <c r="N373" s="3" t="n">
        <v>174.45</v>
      </c>
    </row>
    <row r="374">
      <c r="A374" t="inlineStr">
        <is>
          <t>SO-2501-10372</t>
        </is>
      </c>
      <c r="B374" s="1" t="n">
        <v>45662</v>
      </c>
      <c r="C374" t="inlineStr">
        <is>
          <t>Midwest</t>
        </is>
      </c>
      <c r="D374" t="inlineStr">
        <is>
          <t>MI</t>
        </is>
      </c>
      <c r="E374" t="inlineStr">
        <is>
          <t>Detroit</t>
        </is>
      </c>
      <c r="F374" t="inlineStr">
        <is>
          <t>In-Store</t>
        </is>
      </c>
      <c r="G374" t="inlineStr">
        <is>
          <t>Corporate</t>
        </is>
      </c>
      <c r="H374" t="inlineStr">
        <is>
          <t>Technology</t>
        </is>
      </c>
      <c r="I374" t="inlineStr">
        <is>
          <t>Keyboard</t>
        </is>
      </c>
      <c r="J374" s="2" t="n">
        <v>2</v>
      </c>
      <c r="K374" s="3" t="n">
        <v>41.44</v>
      </c>
      <c r="L374" s="3" t="n">
        <v>82.88</v>
      </c>
      <c r="M374" s="3" t="n">
        <v>55.74</v>
      </c>
      <c r="N374" s="3" t="n">
        <v>27.14</v>
      </c>
    </row>
    <row r="375">
      <c r="A375" t="inlineStr">
        <is>
          <t>SO-2510-10373</t>
        </is>
      </c>
      <c r="B375" s="1" t="n">
        <v>45944</v>
      </c>
      <c r="C375" t="inlineStr">
        <is>
          <t>West</t>
        </is>
      </c>
      <c r="D375" t="inlineStr">
        <is>
          <t>CO</t>
        </is>
      </c>
      <c r="E375" t="inlineStr">
        <is>
          <t>Denver</t>
        </is>
      </c>
      <c r="F375" t="inlineStr">
        <is>
          <t>Online</t>
        </is>
      </c>
      <c r="G375" t="inlineStr">
        <is>
          <t>Corporate</t>
        </is>
      </c>
      <c r="H375" t="inlineStr">
        <is>
          <t>Technology</t>
        </is>
      </c>
      <c r="I375" t="inlineStr">
        <is>
          <t>Mouse</t>
        </is>
      </c>
      <c r="J375" s="2" t="n">
        <v>1</v>
      </c>
      <c r="K375" s="3" t="n">
        <v>18.21</v>
      </c>
      <c r="L375" s="3" t="n">
        <v>18.21</v>
      </c>
      <c r="M375" s="3" t="n">
        <v>12.4</v>
      </c>
      <c r="N375" s="3" t="n">
        <v>5.81</v>
      </c>
    </row>
    <row r="376">
      <c r="A376" t="inlineStr">
        <is>
          <t>SO-2502-10374</t>
        </is>
      </c>
      <c r="B376" s="1" t="n">
        <v>45693</v>
      </c>
      <c r="C376" t="inlineStr">
        <is>
          <t>South</t>
        </is>
      </c>
      <c r="D376" t="inlineStr">
        <is>
          <t>AL</t>
        </is>
      </c>
      <c r="E376" t="inlineStr">
        <is>
          <t>Birmingham</t>
        </is>
      </c>
      <c r="F376" t="inlineStr">
        <is>
          <t>In-Store</t>
        </is>
      </c>
      <c r="G376" t="inlineStr">
        <is>
          <t>Small Business</t>
        </is>
      </c>
      <c r="H376" t="inlineStr">
        <is>
          <t>Technology</t>
        </is>
      </c>
      <c r="I376" t="inlineStr">
        <is>
          <t>Laptop Stand</t>
        </is>
      </c>
      <c r="J376" s="2" t="n">
        <v>7</v>
      </c>
      <c r="K376" s="3" t="n">
        <v>31.44</v>
      </c>
      <c r="L376" s="3" t="n">
        <v>220.08</v>
      </c>
      <c r="M376" s="3" t="n">
        <v>148.36</v>
      </c>
      <c r="N376" s="3" t="n">
        <v>71.72</v>
      </c>
    </row>
    <row r="377">
      <c r="A377" t="inlineStr">
        <is>
          <t>SO-2508-10375</t>
        </is>
      </c>
      <c r="B377" s="1" t="n">
        <v>45872</v>
      </c>
      <c r="C377" t="inlineStr">
        <is>
          <t>West</t>
        </is>
      </c>
      <c r="D377" t="inlineStr">
        <is>
          <t>AZ</t>
        </is>
      </c>
      <c r="E377" t="inlineStr">
        <is>
          <t>Phoenix</t>
        </is>
      </c>
      <c r="F377" t="inlineStr">
        <is>
          <t>In-Store</t>
        </is>
      </c>
      <c r="G377" t="inlineStr">
        <is>
          <t>Corporate</t>
        </is>
      </c>
      <c r="H377" t="inlineStr">
        <is>
          <t>Furniture</t>
        </is>
      </c>
      <c r="I377" t="inlineStr">
        <is>
          <t>Desk Chair</t>
        </is>
      </c>
      <c r="J377" s="2" t="n">
        <v>2</v>
      </c>
      <c r="K377" s="3" t="n">
        <v>120.62</v>
      </c>
      <c r="L377" s="3" t="n">
        <v>241.24</v>
      </c>
      <c r="M377" s="3" t="n">
        <v>173.82</v>
      </c>
      <c r="N377" s="3" t="n">
        <v>67.42</v>
      </c>
    </row>
    <row r="378">
      <c r="A378" t="inlineStr">
        <is>
          <t>SO-2512-10376</t>
        </is>
      </c>
      <c r="B378" s="1" t="n">
        <v>46020</v>
      </c>
      <c r="C378" t="inlineStr">
        <is>
          <t>Midwest</t>
        </is>
      </c>
      <c r="D378" t="inlineStr">
        <is>
          <t>MI</t>
        </is>
      </c>
      <c r="E378" t="inlineStr">
        <is>
          <t>Detroit</t>
        </is>
      </c>
      <c r="F378" t="inlineStr">
        <is>
          <t>Online</t>
        </is>
      </c>
      <c r="G378" t="inlineStr">
        <is>
          <t>Corporate</t>
        </is>
      </c>
      <c r="H378" t="inlineStr">
        <is>
          <t>Office Supplies</t>
        </is>
      </c>
      <c r="I378" t="inlineStr">
        <is>
          <t>Paper</t>
        </is>
      </c>
      <c r="J378" s="2" t="n">
        <v>2</v>
      </c>
      <c r="K378" s="3" t="n">
        <v>7.78</v>
      </c>
      <c r="L378" s="3" t="n">
        <v>15.56</v>
      </c>
      <c r="M378" s="3" t="n">
        <v>8.779999999999999</v>
      </c>
      <c r="N378" s="3" t="n">
        <v>6.78</v>
      </c>
    </row>
    <row r="379">
      <c r="A379" t="inlineStr">
        <is>
          <t>SO-2412-10377</t>
        </is>
      </c>
      <c r="B379" s="1" t="n">
        <v>45641</v>
      </c>
      <c r="C379" t="inlineStr">
        <is>
          <t>Northeast</t>
        </is>
      </c>
      <c r="D379" t="inlineStr">
        <is>
          <t>MA</t>
        </is>
      </c>
      <c r="E379" t="inlineStr">
        <is>
          <t>Boston</t>
        </is>
      </c>
      <c r="F379" t="inlineStr">
        <is>
          <t>In-Store</t>
        </is>
      </c>
      <c r="G379" t="inlineStr">
        <is>
          <t>Corporate</t>
        </is>
      </c>
      <c r="H379" t="inlineStr">
        <is>
          <t>Furniture</t>
        </is>
      </c>
      <c r="I379" t="inlineStr">
        <is>
          <t>Desk Chair</t>
        </is>
      </c>
      <c r="J379" s="2" t="n">
        <v>5</v>
      </c>
      <c r="K379" s="3" t="n">
        <v>140.7</v>
      </c>
      <c r="L379" s="3" t="n">
        <v>703.5</v>
      </c>
      <c r="M379" s="3" t="n">
        <v>496.82</v>
      </c>
      <c r="N379" s="3" t="n">
        <v>206.68</v>
      </c>
    </row>
    <row r="380">
      <c r="A380" t="inlineStr">
        <is>
          <t>SO-2410-10378</t>
        </is>
      </c>
      <c r="B380" s="1" t="n">
        <v>45587</v>
      </c>
      <c r="C380" t="inlineStr">
        <is>
          <t>West</t>
        </is>
      </c>
      <c r="D380" t="inlineStr">
        <is>
          <t>AZ</t>
        </is>
      </c>
      <c r="E380" t="inlineStr">
        <is>
          <t>Phoenix</t>
        </is>
      </c>
      <c r="F380" t="inlineStr">
        <is>
          <t>Online</t>
        </is>
      </c>
      <c r="G380" t="inlineStr">
        <is>
          <t>Consumer</t>
        </is>
      </c>
      <c r="H380" t="inlineStr">
        <is>
          <t>Technology</t>
        </is>
      </c>
      <c r="I380" t="inlineStr">
        <is>
          <t>Keyboard</t>
        </is>
      </c>
      <c r="J380" s="2" t="n">
        <v>5</v>
      </c>
      <c r="K380" s="3" t="n">
        <v>42.54</v>
      </c>
      <c r="L380" s="3" t="n">
        <v>212.7</v>
      </c>
      <c r="M380" s="3" t="n">
        <v>155.79</v>
      </c>
      <c r="N380" s="3" t="n">
        <v>56.91</v>
      </c>
    </row>
    <row r="381">
      <c r="A381" t="inlineStr">
        <is>
          <t>SO-2502-10379</t>
        </is>
      </c>
      <c r="B381" s="1" t="n">
        <v>45705</v>
      </c>
      <c r="C381" t="inlineStr">
        <is>
          <t>Midwest</t>
        </is>
      </c>
      <c r="D381" t="inlineStr">
        <is>
          <t>IL</t>
        </is>
      </c>
      <c r="E381" t="inlineStr">
        <is>
          <t>Chicago</t>
        </is>
      </c>
      <c r="F381" t="inlineStr">
        <is>
          <t>Online</t>
        </is>
      </c>
      <c r="G381" t="inlineStr">
        <is>
          <t>Small Business</t>
        </is>
      </c>
      <c r="H381" t="inlineStr">
        <is>
          <t>Technology</t>
        </is>
      </c>
      <c r="I381" t="inlineStr">
        <is>
          <t>Mouse</t>
        </is>
      </c>
      <c r="J381" s="2" t="n">
        <v>6</v>
      </c>
      <c r="K381" s="3" t="n">
        <v>20</v>
      </c>
      <c r="L381" s="3" t="n">
        <v>120</v>
      </c>
      <c r="M381" s="3" t="n">
        <v>86.42</v>
      </c>
      <c r="N381" s="3" t="n">
        <v>33.58</v>
      </c>
    </row>
    <row r="382">
      <c r="A382" t="inlineStr">
        <is>
          <t>SO-2402-10380</t>
        </is>
      </c>
      <c r="B382" s="1" t="n">
        <v>45326</v>
      </c>
      <c r="C382" t="inlineStr">
        <is>
          <t>Midwest</t>
        </is>
      </c>
      <c r="D382" t="inlineStr">
        <is>
          <t>OH</t>
        </is>
      </c>
      <c r="E382" t="inlineStr">
        <is>
          <t>Columbus</t>
        </is>
      </c>
      <c r="F382" t="inlineStr">
        <is>
          <t>Partner</t>
        </is>
      </c>
      <c r="G382" t="inlineStr">
        <is>
          <t>Small Business</t>
        </is>
      </c>
      <c r="H382" t="inlineStr">
        <is>
          <t>Office Supplies</t>
        </is>
      </c>
      <c r="I382" t="inlineStr">
        <is>
          <t>Pens</t>
        </is>
      </c>
      <c r="J382" s="2" t="n">
        <v>3</v>
      </c>
      <c r="K382" s="3" t="n">
        <v>4.72</v>
      </c>
      <c r="L382" s="3" t="n">
        <v>14.16</v>
      </c>
      <c r="M382" s="3" t="n">
        <v>9.390000000000001</v>
      </c>
      <c r="N382" s="3" t="n">
        <v>4.77</v>
      </c>
    </row>
    <row r="383">
      <c r="A383" t="inlineStr">
        <is>
          <t>SO-2506-10381</t>
        </is>
      </c>
      <c r="B383" s="1" t="n">
        <v>45813</v>
      </c>
      <c r="C383" t="inlineStr">
        <is>
          <t>West</t>
        </is>
      </c>
      <c r="D383" t="inlineStr">
        <is>
          <t>AZ</t>
        </is>
      </c>
      <c r="E383" t="inlineStr">
        <is>
          <t>Phoenix</t>
        </is>
      </c>
      <c r="F383" t="inlineStr">
        <is>
          <t>In-Store</t>
        </is>
      </c>
      <c r="G383" t="inlineStr">
        <is>
          <t>Small Business</t>
        </is>
      </c>
      <c r="H383" t="inlineStr">
        <is>
          <t>Office Supplies</t>
        </is>
      </c>
      <c r="I383" t="inlineStr">
        <is>
          <t>Stapler</t>
        </is>
      </c>
      <c r="J383" s="2" t="n">
        <v>1</v>
      </c>
      <c r="K383" s="3" t="n">
        <v>13.43</v>
      </c>
      <c r="L383" s="3" t="n">
        <v>13.43</v>
      </c>
      <c r="M383" s="3" t="n">
        <v>7.94</v>
      </c>
      <c r="N383" s="3" t="n">
        <v>5.49</v>
      </c>
    </row>
    <row r="384">
      <c r="A384" t="inlineStr">
        <is>
          <t>SO-2401-10382</t>
        </is>
      </c>
      <c r="B384" s="1" t="n">
        <v>45315</v>
      </c>
      <c r="C384" t="inlineStr">
        <is>
          <t>Northeast</t>
        </is>
      </c>
      <c r="D384" t="inlineStr">
        <is>
          <t>MA</t>
        </is>
      </c>
      <c r="E384" t="inlineStr">
        <is>
          <t>Boston</t>
        </is>
      </c>
      <c r="F384" t="inlineStr">
        <is>
          <t>Partner</t>
        </is>
      </c>
      <c r="G384" t="inlineStr">
        <is>
          <t>Small Business</t>
        </is>
      </c>
      <c r="H384" t="inlineStr">
        <is>
          <t>Technology</t>
        </is>
      </c>
      <c r="I384" t="inlineStr">
        <is>
          <t>Mouse</t>
        </is>
      </c>
      <c r="J384" s="2" t="n">
        <v>4</v>
      </c>
      <c r="K384" s="3" t="n">
        <v>19.15</v>
      </c>
      <c r="L384" s="3" t="n">
        <v>76.59999999999999</v>
      </c>
      <c r="M384" s="3" t="n">
        <v>58.21</v>
      </c>
      <c r="N384" s="3" t="n">
        <v>18.39</v>
      </c>
    </row>
    <row r="385">
      <c r="A385" t="inlineStr">
        <is>
          <t>SO-2403-10383</t>
        </is>
      </c>
      <c r="B385" s="1" t="n">
        <v>45352</v>
      </c>
      <c r="C385" t="inlineStr">
        <is>
          <t>South</t>
        </is>
      </c>
      <c r="D385" t="inlineStr">
        <is>
          <t>GA</t>
        </is>
      </c>
      <c r="E385" t="inlineStr">
        <is>
          <t>Atlanta</t>
        </is>
      </c>
      <c r="F385" t="inlineStr">
        <is>
          <t>In-Store</t>
        </is>
      </c>
      <c r="G385" t="inlineStr">
        <is>
          <t>Small Business</t>
        </is>
      </c>
      <c r="H385" t="inlineStr">
        <is>
          <t>Technology</t>
        </is>
      </c>
      <c r="I385" t="inlineStr">
        <is>
          <t>Keyboard</t>
        </is>
      </c>
      <c r="J385" s="2" t="n">
        <v>3</v>
      </c>
      <c r="K385" s="3" t="n">
        <v>34.03</v>
      </c>
      <c r="L385" s="3" t="n">
        <v>102.09</v>
      </c>
      <c r="M385" s="3" t="n">
        <v>63.8</v>
      </c>
      <c r="N385" s="3" t="n">
        <v>38.29</v>
      </c>
    </row>
    <row r="386">
      <c r="A386" t="inlineStr">
        <is>
          <t>SO-2412-10384</t>
        </is>
      </c>
      <c r="B386" s="1" t="n">
        <v>45630</v>
      </c>
      <c r="C386" t="inlineStr">
        <is>
          <t>South</t>
        </is>
      </c>
      <c r="D386" t="inlineStr">
        <is>
          <t>GA</t>
        </is>
      </c>
      <c r="E386" t="inlineStr">
        <is>
          <t>Atlanta</t>
        </is>
      </c>
      <c r="F386" t="inlineStr">
        <is>
          <t>Partner</t>
        </is>
      </c>
      <c r="G386" t="inlineStr">
        <is>
          <t>Small Business</t>
        </is>
      </c>
      <c r="H386" t="inlineStr">
        <is>
          <t>Furniture</t>
        </is>
      </c>
      <c r="I386" t="inlineStr">
        <is>
          <t>Filing Cabinet</t>
        </is>
      </c>
      <c r="J386" s="2" t="n">
        <v>3</v>
      </c>
      <c r="K386" s="3" t="n">
        <v>141.3</v>
      </c>
      <c r="L386" s="3" t="n">
        <v>423.9</v>
      </c>
      <c r="M386" s="3" t="n">
        <v>270.37</v>
      </c>
      <c r="N386" s="3" t="n">
        <v>153.53</v>
      </c>
    </row>
    <row r="387">
      <c r="A387" t="inlineStr">
        <is>
          <t>SO-2408-10385</t>
        </is>
      </c>
      <c r="B387" s="1" t="n">
        <v>45520</v>
      </c>
      <c r="C387" t="inlineStr">
        <is>
          <t>Northeast</t>
        </is>
      </c>
      <c r="D387" t="inlineStr">
        <is>
          <t>MA</t>
        </is>
      </c>
      <c r="E387" t="inlineStr">
        <is>
          <t>Boston</t>
        </is>
      </c>
      <c r="F387" t="inlineStr">
        <is>
          <t>Online</t>
        </is>
      </c>
      <c r="G387" t="inlineStr">
        <is>
          <t>Consumer</t>
        </is>
      </c>
      <c r="H387" t="inlineStr">
        <is>
          <t>Furniture</t>
        </is>
      </c>
      <c r="I387" t="inlineStr">
        <is>
          <t>Standing Desk</t>
        </is>
      </c>
      <c r="J387" s="2" t="n">
        <v>3</v>
      </c>
      <c r="K387" s="3" t="n">
        <v>280.34</v>
      </c>
      <c r="L387" s="3" t="n">
        <v>841.02</v>
      </c>
      <c r="M387" s="3" t="n">
        <v>589.75</v>
      </c>
      <c r="N387" s="3" t="n">
        <v>251.27</v>
      </c>
    </row>
    <row r="388">
      <c r="A388" t="inlineStr">
        <is>
          <t>SO-2502-10386</t>
        </is>
      </c>
      <c r="B388" s="1" t="n">
        <v>45691</v>
      </c>
      <c r="C388" t="inlineStr">
        <is>
          <t>Midwest</t>
        </is>
      </c>
      <c r="D388" t="inlineStr">
        <is>
          <t>MN</t>
        </is>
      </c>
      <c r="E388" t="inlineStr">
        <is>
          <t>Minneapolis</t>
        </is>
      </c>
      <c r="F388" t="inlineStr">
        <is>
          <t>Partner</t>
        </is>
      </c>
      <c r="G388" t="inlineStr">
        <is>
          <t>Small Business</t>
        </is>
      </c>
      <c r="H388" t="inlineStr">
        <is>
          <t>Technology</t>
        </is>
      </c>
      <c r="I388" t="inlineStr">
        <is>
          <t>Mouse</t>
        </is>
      </c>
      <c r="J388" s="2" t="n">
        <v>3</v>
      </c>
      <c r="K388" s="3" t="n">
        <v>22.72</v>
      </c>
      <c r="L388" s="3" t="n">
        <v>68.16</v>
      </c>
      <c r="M388" s="3" t="n">
        <v>41.99</v>
      </c>
      <c r="N388" s="3" t="n">
        <v>26.17</v>
      </c>
    </row>
    <row r="389">
      <c r="A389" t="inlineStr">
        <is>
          <t>SO-2403-10387</t>
        </is>
      </c>
      <c r="B389" s="1" t="n">
        <v>45365</v>
      </c>
      <c r="C389" t="inlineStr">
        <is>
          <t>West</t>
        </is>
      </c>
      <c r="D389" t="inlineStr">
        <is>
          <t>WA</t>
        </is>
      </c>
      <c r="E389" t="inlineStr">
        <is>
          <t>Seattle</t>
        </is>
      </c>
      <c r="F389" t="inlineStr">
        <is>
          <t>Partner</t>
        </is>
      </c>
      <c r="G389" t="inlineStr">
        <is>
          <t>Corporate</t>
        </is>
      </c>
      <c r="H389" t="inlineStr">
        <is>
          <t>Furniture</t>
        </is>
      </c>
      <c r="I389" t="inlineStr">
        <is>
          <t>Desk Chair</t>
        </is>
      </c>
      <c r="J389" s="2" t="n">
        <v>6</v>
      </c>
      <c r="K389" s="3" t="n">
        <v>141.85</v>
      </c>
      <c r="L389" s="3" t="n">
        <v>851.1</v>
      </c>
      <c r="M389" s="3" t="n">
        <v>636.34</v>
      </c>
      <c r="N389" s="3" t="n">
        <v>214.76</v>
      </c>
    </row>
    <row r="390">
      <c r="A390" t="inlineStr">
        <is>
          <t>SO-2407-10388</t>
        </is>
      </c>
      <c r="B390" s="1" t="n">
        <v>45490</v>
      </c>
      <c r="C390" t="inlineStr">
        <is>
          <t>Northeast</t>
        </is>
      </c>
      <c r="D390" t="inlineStr">
        <is>
          <t>NJ</t>
        </is>
      </c>
      <c r="E390" t="inlineStr">
        <is>
          <t>Newark</t>
        </is>
      </c>
      <c r="F390" t="inlineStr">
        <is>
          <t>Online</t>
        </is>
      </c>
      <c r="G390" t="inlineStr">
        <is>
          <t>Small Business</t>
        </is>
      </c>
      <c r="H390" t="inlineStr">
        <is>
          <t>Technology</t>
        </is>
      </c>
      <c r="I390" t="inlineStr">
        <is>
          <t>Laptop Stand</t>
        </is>
      </c>
      <c r="J390" s="2" t="n">
        <v>3</v>
      </c>
      <c r="K390" s="3" t="n">
        <v>27.21</v>
      </c>
      <c r="L390" s="3" t="n">
        <v>81.63</v>
      </c>
      <c r="M390" s="3" t="n">
        <v>50.62</v>
      </c>
      <c r="N390" s="3" t="n">
        <v>31.01</v>
      </c>
    </row>
    <row r="391">
      <c r="A391" t="inlineStr">
        <is>
          <t>SO-2410-10389</t>
        </is>
      </c>
      <c r="B391" s="1" t="n">
        <v>45595</v>
      </c>
      <c r="C391" t="inlineStr">
        <is>
          <t>South</t>
        </is>
      </c>
      <c r="D391" t="inlineStr">
        <is>
          <t>TN</t>
        </is>
      </c>
      <c r="E391" t="inlineStr">
        <is>
          <t>Nashville</t>
        </is>
      </c>
      <c r="F391" t="inlineStr">
        <is>
          <t>Partner</t>
        </is>
      </c>
      <c r="G391" t="inlineStr">
        <is>
          <t>Consumer</t>
        </is>
      </c>
      <c r="H391" t="inlineStr">
        <is>
          <t>Office Supplies</t>
        </is>
      </c>
      <c r="I391" t="inlineStr">
        <is>
          <t>Pens</t>
        </is>
      </c>
      <c r="J391" s="2" t="n">
        <v>5</v>
      </c>
      <c r="K391" s="3" t="n">
        <v>4.86</v>
      </c>
      <c r="L391" s="3" t="n">
        <v>24.3</v>
      </c>
      <c r="M391" s="3" t="n">
        <v>14.1</v>
      </c>
      <c r="N391" s="3" t="n">
        <v>10.2</v>
      </c>
    </row>
    <row r="392">
      <c r="A392" t="inlineStr">
        <is>
          <t>SO-2507-10390</t>
        </is>
      </c>
      <c r="B392" s="1" t="n">
        <v>45842</v>
      </c>
      <c r="C392" t="inlineStr">
        <is>
          <t>South</t>
        </is>
      </c>
      <c r="D392" t="inlineStr">
        <is>
          <t>GA</t>
        </is>
      </c>
      <c r="E392" t="inlineStr">
        <is>
          <t>Atlanta</t>
        </is>
      </c>
      <c r="F392" t="inlineStr">
        <is>
          <t>In-Store</t>
        </is>
      </c>
      <c r="G392" t="inlineStr">
        <is>
          <t>Small Business</t>
        </is>
      </c>
      <c r="H392" t="inlineStr">
        <is>
          <t>Technology</t>
        </is>
      </c>
      <c r="I392" t="inlineStr">
        <is>
          <t>Keyboard</t>
        </is>
      </c>
      <c r="J392" s="2" t="n">
        <v>1</v>
      </c>
      <c r="K392" s="3" t="n">
        <v>39.01</v>
      </c>
      <c r="L392" s="3" t="n">
        <v>39.01</v>
      </c>
      <c r="M392" s="3" t="n">
        <v>27.91</v>
      </c>
      <c r="N392" s="3" t="n">
        <v>11.1</v>
      </c>
    </row>
    <row r="393">
      <c r="A393" t="inlineStr">
        <is>
          <t>SO-2412-10391</t>
        </is>
      </c>
      <c r="B393" s="1" t="n">
        <v>45655</v>
      </c>
      <c r="C393" t="inlineStr">
        <is>
          <t>Midwest</t>
        </is>
      </c>
      <c r="D393" t="inlineStr">
        <is>
          <t>OH</t>
        </is>
      </c>
      <c r="E393" t="inlineStr">
        <is>
          <t>Columbus</t>
        </is>
      </c>
      <c r="F393" t="inlineStr">
        <is>
          <t>In-Store</t>
        </is>
      </c>
      <c r="G393" t="inlineStr">
        <is>
          <t>Consumer</t>
        </is>
      </c>
      <c r="H393" t="inlineStr">
        <is>
          <t>Furniture</t>
        </is>
      </c>
      <c r="I393" t="inlineStr">
        <is>
          <t>Bookshelf</t>
        </is>
      </c>
      <c r="J393" s="2" t="n">
        <v>2</v>
      </c>
      <c r="K393" s="3" t="n">
        <v>103.26</v>
      </c>
      <c r="L393" s="3" t="n">
        <v>206.52</v>
      </c>
      <c r="M393" s="3" t="n">
        <v>125.93</v>
      </c>
      <c r="N393" s="3" t="n">
        <v>80.59</v>
      </c>
    </row>
    <row r="394">
      <c r="A394" t="inlineStr">
        <is>
          <t>SO-2403-10392</t>
        </is>
      </c>
      <c r="B394" s="1" t="n">
        <v>45376</v>
      </c>
      <c r="C394" t="inlineStr">
        <is>
          <t>West</t>
        </is>
      </c>
      <c r="D394" t="inlineStr">
        <is>
          <t>CA</t>
        </is>
      </c>
      <c r="E394" t="inlineStr">
        <is>
          <t>Los Angeles</t>
        </is>
      </c>
      <c r="F394" t="inlineStr">
        <is>
          <t>In-Store</t>
        </is>
      </c>
      <c r="G394" t="inlineStr">
        <is>
          <t>Corporate</t>
        </is>
      </c>
      <c r="H394" t="inlineStr">
        <is>
          <t>Technology</t>
        </is>
      </c>
      <c r="I394" t="inlineStr">
        <is>
          <t>Mouse</t>
        </is>
      </c>
      <c r="J394" s="2" t="n">
        <v>2</v>
      </c>
      <c r="K394" s="3" t="n">
        <v>22.14</v>
      </c>
      <c r="L394" s="3" t="n">
        <v>44.28</v>
      </c>
      <c r="M394" s="3" t="n">
        <v>33.62</v>
      </c>
      <c r="N394" s="3" t="n">
        <v>10.66</v>
      </c>
    </row>
    <row r="395">
      <c r="A395" t="inlineStr">
        <is>
          <t>SO-2407-10393</t>
        </is>
      </c>
      <c r="B395" s="1" t="n">
        <v>45489</v>
      </c>
      <c r="C395" t="inlineStr">
        <is>
          <t>West</t>
        </is>
      </c>
      <c r="D395" t="inlineStr">
        <is>
          <t>WA</t>
        </is>
      </c>
      <c r="E395" t="inlineStr">
        <is>
          <t>Seattle</t>
        </is>
      </c>
      <c r="F395" t="inlineStr">
        <is>
          <t>Partner</t>
        </is>
      </c>
      <c r="G395" t="inlineStr">
        <is>
          <t>Corporate</t>
        </is>
      </c>
      <c r="H395" t="inlineStr">
        <is>
          <t>Office Supplies</t>
        </is>
      </c>
      <c r="I395" t="inlineStr">
        <is>
          <t>Binders</t>
        </is>
      </c>
      <c r="J395" s="2" t="n">
        <v>1</v>
      </c>
      <c r="K395" s="3" t="n">
        <v>10.01</v>
      </c>
      <c r="L395" s="3" t="n">
        <v>10.01</v>
      </c>
      <c r="M395" s="3" t="n">
        <v>5.82</v>
      </c>
      <c r="N395" s="3" t="n">
        <v>4.19</v>
      </c>
    </row>
    <row r="396">
      <c r="A396" t="inlineStr">
        <is>
          <t>SO-2501-10394</t>
        </is>
      </c>
      <c r="B396" s="1" t="n">
        <v>45680</v>
      </c>
      <c r="C396" t="inlineStr">
        <is>
          <t>West</t>
        </is>
      </c>
      <c r="D396" t="inlineStr">
        <is>
          <t>CO</t>
        </is>
      </c>
      <c r="E396" t="inlineStr">
        <is>
          <t>Denver</t>
        </is>
      </c>
      <c r="F396" t="inlineStr">
        <is>
          <t>Online</t>
        </is>
      </c>
      <c r="G396" t="inlineStr">
        <is>
          <t>Consumer</t>
        </is>
      </c>
      <c r="H396" t="inlineStr">
        <is>
          <t>Office Supplies</t>
        </is>
      </c>
      <c r="I396" t="inlineStr">
        <is>
          <t>Stapler</t>
        </is>
      </c>
      <c r="J396" s="2" t="n">
        <v>2</v>
      </c>
      <c r="K396" s="3" t="n">
        <v>11.56</v>
      </c>
      <c r="L396" s="3" t="n">
        <v>23.12</v>
      </c>
      <c r="M396" s="3" t="n">
        <v>12.76</v>
      </c>
      <c r="N396" s="3" t="n">
        <v>10.36</v>
      </c>
    </row>
    <row r="397">
      <c r="A397" t="inlineStr">
        <is>
          <t>SO-2510-10395</t>
        </is>
      </c>
      <c r="B397" s="1" t="n">
        <v>45931</v>
      </c>
      <c r="C397" t="inlineStr">
        <is>
          <t>South</t>
        </is>
      </c>
      <c r="D397" t="inlineStr">
        <is>
          <t>TN</t>
        </is>
      </c>
      <c r="E397" t="inlineStr">
        <is>
          <t>Nashville</t>
        </is>
      </c>
      <c r="F397" t="inlineStr">
        <is>
          <t>Partner</t>
        </is>
      </c>
      <c r="G397" t="inlineStr">
        <is>
          <t>Corporate</t>
        </is>
      </c>
      <c r="H397" t="inlineStr">
        <is>
          <t>Office Supplies</t>
        </is>
      </c>
      <c r="I397" t="inlineStr">
        <is>
          <t>Pens</t>
        </is>
      </c>
      <c r="J397" s="2" t="n">
        <v>1</v>
      </c>
      <c r="K397" s="3" t="n">
        <v>5.01</v>
      </c>
      <c r="L397" s="3" t="n">
        <v>5.01</v>
      </c>
      <c r="M397" s="3" t="n">
        <v>3.16</v>
      </c>
      <c r="N397" s="3" t="n">
        <v>1.85</v>
      </c>
    </row>
    <row r="398">
      <c r="A398" t="inlineStr">
        <is>
          <t>SO-2405-10396</t>
        </is>
      </c>
      <c r="B398" s="1" t="n">
        <v>45421</v>
      </c>
      <c r="C398" t="inlineStr">
        <is>
          <t>West</t>
        </is>
      </c>
      <c r="D398" t="inlineStr">
        <is>
          <t>WA</t>
        </is>
      </c>
      <c r="E398" t="inlineStr">
        <is>
          <t>Seattle</t>
        </is>
      </c>
      <c r="F398" t="inlineStr">
        <is>
          <t>Online</t>
        </is>
      </c>
      <c r="G398" t="inlineStr">
        <is>
          <t>Corporate</t>
        </is>
      </c>
      <c r="H398" t="inlineStr">
        <is>
          <t>Office Supplies</t>
        </is>
      </c>
      <c r="I398" t="inlineStr">
        <is>
          <t>Pens</t>
        </is>
      </c>
      <c r="J398" s="2" t="n">
        <v>2</v>
      </c>
      <c r="K398" s="3" t="n">
        <v>4.09</v>
      </c>
      <c r="L398" s="3" t="n">
        <v>8.18</v>
      </c>
      <c r="M398" s="3" t="n">
        <v>4.93</v>
      </c>
      <c r="N398" s="3" t="n">
        <v>3.25</v>
      </c>
    </row>
    <row r="399">
      <c r="A399" t="inlineStr">
        <is>
          <t>SO-2409-10397</t>
        </is>
      </c>
      <c r="B399" s="1" t="n">
        <v>45537</v>
      </c>
      <c r="C399" t="inlineStr">
        <is>
          <t>West</t>
        </is>
      </c>
      <c r="D399" t="inlineStr">
        <is>
          <t>CO</t>
        </is>
      </c>
      <c r="E399" t="inlineStr">
        <is>
          <t>Denver</t>
        </is>
      </c>
      <c r="F399" t="inlineStr">
        <is>
          <t>Partner</t>
        </is>
      </c>
      <c r="G399" t="inlineStr">
        <is>
          <t>Small Business</t>
        </is>
      </c>
      <c r="H399" t="inlineStr">
        <is>
          <t>Office Supplies</t>
        </is>
      </c>
      <c r="I399" t="inlineStr">
        <is>
          <t>Paper</t>
        </is>
      </c>
      <c r="J399" s="2" t="n">
        <v>3</v>
      </c>
      <c r="K399" s="3" t="n">
        <v>7.75</v>
      </c>
      <c r="L399" s="3" t="n">
        <v>23.25</v>
      </c>
      <c r="M399" s="3" t="n">
        <v>13.38</v>
      </c>
      <c r="N399" s="3" t="n">
        <v>9.869999999999999</v>
      </c>
    </row>
    <row r="400">
      <c r="A400" t="inlineStr">
        <is>
          <t>SO-2408-10398</t>
        </is>
      </c>
      <c r="B400" s="1" t="n">
        <v>45526</v>
      </c>
      <c r="C400" t="inlineStr">
        <is>
          <t>West</t>
        </is>
      </c>
      <c r="D400" t="inlineStr">
        <is>
          <t>CO</t>
        </is>
      </c>
      <c r="E400" t="inlineStr">
        <is>
          <t>Denver</t>
        </is>
      </c>
      <c r="F400" t="inlineStr">
        <is>
          <t>Online</t>
        </is>
      </c>
      <c r="G400" t="inlineStr">
        <is>
          <t>Corporate</t>
        </is>
      </c>
      <c r="H400" t="inlineStr">
        <is>
          <t>Furniture</t>
        </is>
      </c>
      <c r="I400" t="inlineStr">
        <is>
          <t>Standing Desk</t>
        </is>
      </c>
      <c r="J400" s="2" t="n">
        <v>1</v>
      </c>
      <c r="K400" s="3" t="n">
        <v>265.65</v>
      </c>
      <c r="L400" s="3" t="n">
        <v>265.65</v>
      </c>
      <c r="M400" s="3" t="n">
        <v>185.68</v>
      </c>
      <c r="N400" s="3" t="n">
        <v>79.97</v>
      </c>
    </row>
    <row r="401">
      <c r="A401" t="inlineStr">
        <is>
          <t>SO-2502-10399</t>
        </is>
      </c>
      <c r="B401" s="1" t="n">
        <v>45703</v>
      </c>
      <c r="C401" t="inlineStr">
        <is>
          <t>Northeast</t>
        </is>
      </c>
      <c r="D401" t="inlineStr">
        <is>
          <t>NY</t>
        </is>
      </c>
      <c r="E401" t="inlineStr">
        <is>
          <t>New York</t>
        </is>
      </c>
      <c r="F401" t="inlineStr">
        <is>
          <t>Online</t>
        </is>
      </c>
      <c r="G401" t="inlineStr">
        <is>
          <t>Consumer</t>
        </is>
      </c>
      <c r="H401" t="inlineStr">
        <is>
          <t>Office Supplies</t>
        </is>
      </c>
      <c r="I401" t="inlineStr">
        <is>
          <t>Paper</t>
        </is>
      </c>
      <c r="J401" s="2" t="n">
        <v>1</v>
      </c>
      <c r="K401" s="3" t="n">
        <v>7.85</v>
      </c>
      <c r="L401" s="3" t="n">
        <v>7.85</v>
      </c>
      <c r="M401" s="3" t="n">
        <v>4.55</v>
      </c>
      <c r="N401" s="3" t="n">
        <v>3.3</v>
      </c>
    </row>
    <row r="402">
      <c r="A402" t="inlineStr">
        <is>
          <t>SO-2512-10400</t>
        </is>
      </c>
      <c r="B402" s="1" t="n">
        <v>46019</v>
      </c>
      <c r="C402" t="inlineStr">
        <is>
          <t>South</t>
        </is>
      </c>
      <c r="D402" t="inlineStr">
        <is>
          <t>TN</t>
        </is>
      </c>
      <c r="E402" t="inlineStr">
        <is>
          <t>Nashville</t>
        </is>
      </c>
      <c r="F402" t="inlineStr">
        <is>
          <t>Online</t>
        </is>
      </c>
      <c r="G402" t="inlineStr">
        <is>
          <t>Consumer</t>
        </is>
      </c>
      <c r="H402" t="inlineStr">
        <is>
          <t>Technology</t>
        </is>
      </c>
      <c r="I402" t="inlineStr">
        <is>
          <t>Mouse</t>
        </is>
      </c>
      <c r="J402" s="2" t="n">
        <v>4</v>
      </c>
      <c r="K402" s="3" t="n">
        <v>17.91</v>
      </c>
      <c r="L402" s="3" t="n">
        <v>71.64</v>
      </c>
      <c r="M402" s="3" t="n">
        <v>52.75</v>
      </c>
      <c r="N402" s="3" t="n">
        <v>18.89</v>
      </c>
    </row>
    <row r="403">
      <c r="A403" t="inlineStr">
        <is>
          <t>SO-2401-10401</t>
        </is>
      </c>
      <c r="B403" s="1" t="n">
        <v>45294</v>
      </c>
      <c r="C403" t="inlineStr">
        <is>
          <t>Northeast</t>
        </is>
      </c>
      <c r="D403" t="inlineStr">
        <is>
          <t>MA</t>
        </is>
      </c>
      <c r="E403" t="inlineStr">
        <is>
          <t>Boston</t>
        </is>
      </c>
      <c r="F403" t="inlineStr">
        <is>
          <t>Online</t>
        </is>
      </c>
      <c r="G403" t="inlineStr">
        <is>
          <t>Consumer</t>
        </is>
      </c>
      <c r="H403" t="inlineStr">
        <is>
          <t>Furniture</t>
        </is>
      </c>
      <c r="I403" t="inlineStr">
        <is>
          <t>Bookshelf</t>
        </is>
      </c>
      <c r="J403" s="2" t="n">
        <v>2</v>
      </c>
      <c r="K403" s="3" t="n">
        <v>79.34999999999999</v>
      </c>
      <c r="L403" s="3" t="n">
        <v>158.7</v>
      </c>
      <c r="M403" s="3" t="n">
        <v>116.77</v>
      </c>
      <c r="N403" s="3" t="n">
        <v>41.93</v>
      </c>
    </row>
    <row r="404">
      <c r="A404" t="inlineStr">
        <is>
          <t>SO-2507-10402</t>
        </is>
      </c>
      <c r="B404" s="1" t="n">
        <v>45865</v>
      </c>
      <c r="C404" t="inlineStr">
        <is>
          <t>South</t>
        </is>
      </c>
      <c r="D404" t="inlineStr">
        <is>
          <t>GA</t>
        </is>
      </c>
      <c r="E404" t="inlineStr">
        <is>
          <t>Atlanta</t>
        </is>
      </c>
      <c r="F404" t="inlineStr">
        <is>
          <t>Partner</t>
        </is>
      </c>
      <c r="G404" t="inlineStr">
        <is>
          <t>Consumer</t>
        </is>
      </c>
      <c r="H404" t="inlineStr">
        <is>
          <t>Furniture</t>
        </is>
      </c>
      <c r="I404" t="inlineStr">
        <is>
          <t>Desk Chair</t>
        </is>
      </c>
      <c r="J404" s="2" t="n">
        <v>3</v>
      </c>
      <c r="K404" s="3" t="n">
        <v>136.29</v>
      </c>
      <c r="L404" s="3" t="n">
        <v>408.87</v>
      </c>
      <c r="M404" s="3" t="n">
        <v>283.76</v>
      </c>
      <c r="N404" s="3" t="n">
        <v>125.11</v>
      </c>
    </row>
    <row r="405">
      <c r="A405" t="inlineStr">
        <is>
          <t>SO-2404-10403</t>
        </is>
      </c>
      <c r="B405" s="1" t="n">
        <v>45405</v>
      </c>
      <c r="C405" t="inlineStr">
        <is>
          <t>South</t>
        </is>
      </c>
      <c r="D405" t="inlineStr">
        <is>
          <t>AL</t>
        </is>
      </c>
      <c r="E405" t="inlineStr">
        <is>
          <t>Birmingham</t>
        </is>
      </c>
      <c r="F405" t="inlineStr">
        <is>
          <t>Partner</t>
        </is>
      </c>
      <c r="G405" t="inlineStr">
        <is>
          <t>Consumer</t>
        </is>
      </c>
      <c r="H405" t="inlineStr">
        <is>
          <t>Furniture</t>
        </is>
      </c>
      <c r="I405" t="inlineStr">
        <is>
          <t>Filing Cabinet</t>
        </is>
      </c>
      <c r="J405" s="2" t="n">
        <v>6</v>
      </c>
      <c r="K405" s="3" t="n">
        <v>146.01</v>
      </c>
      <c r="L405" s="3" t="n">
        <v>876.0599999999999</v>
      </c>
      <c r="M405" s="3" t="n">
        <v>608.16</v>
      </c>
      <c r="N405" s="3" t="n">
        <v>267.9</v>
      </c>
    </row>
    <row r="406">
      <c r="A406" t="inlineStr">
        <is>
          <t>SO-2411-10404</t>
        </is>
      </c>
      <c r="B406" s="1" t="n">
        <v>45601</v>
      </c>
      <c r="C406" t="inlineStr">
        <is>
          <t>Midwest</t>
        </is>
      </c>
      <c r="D406" t="inlineStr">
        <is>
          <t>IL</t>
        </is>
      </c>
      <c r="E406" t="inlineStr">
        <is>
          <t>Chicago</t>
        </is>
      </c>
      <c r="F406" t="inlineStr">
        <is>
          <t>In-Store</t>
        </is>
      </c>
      <c r="G406" t="inlineStr">
        <is>
          <t>Corporate</t>
        </is>
      </c>
      <c r="H406" t="inlineStr">
        <is>
          <t>Office Supplies</t>
        </is>
      </c>
      <c r="I406" t="inlineStr">
        <is>
          <t>Pens</t>
        </is>
      </c>
      <c r="J406" s="2" t="n">
        <v>5</v>
      </c>
      <c r="K406" s="3" t="n">
        <v>4.96</v>
      </c>
      <c r="L406" s="3" t="n">
        <v>24.8</v>
      </c>
      <c r="M406" s="3" t="n">
        <v>16.8</v>
      </c>
      <c r="N406" s="3" t="n">
        <v>8</v>
      </c>
    </row>
    <row r="407">
      <c r="A407" t="inlineStr">
        <is>
          <t>SO-2512-10405</t>
        </is>
      </c>
      <c r="B407" s="1" t="n">
        <v>46001</v>
      </c>
      <c r="C407" t="inlineStr">
        <is>
          <t>Northeast</t>
        </is>
      </c>
      <c r="D407" t="inlineStr">
        <is>
          <t>NJ</t>
        </is>
      </c>
      <c r="E407" t="inlineStr">
        <is>
          <t>Newark</t>
        </is>
      </c>
      <c r="F407" t="inlineStr">
        <is>
          <t>Partner</t>
        </is>
      </c>
      <c r="G407" t="inlineStr">
        <is>
          <t>Consumer</t>
        </is>
      </c>
      <c r="H407" t="inlineStr">
        <is>
          <t>Furniture</t>
        </is>
      </c>
      <c r="I407" t="inlineStr">
        <is>
          <t>Bookshelf</t>
        </is>
      </c>
      <c r="J407" s="2" t="n">
        <v>3</v>
      </c>
      <c r="K407" s="3" t="n">
        <v>97.25</v>
      </c>
      <c r="L407" s="3" t="n">
        <v>291.75</v>
      </c>
      <c r="M407" s="3" t="n">
        <v>174.85</v>
      </c>
      <c r="N407" s="3" t="n">
        <v>116.9</v>
      </c>
    </row>
    <row r="408">
      <c r="A408" t="inlineStr">
        <is>
          <t>SO-2403-10406</t>
        </is>
      </c>
      <c r="B408" s="1" t="n">
        <v>45352</v>
      </c>
      <c r="C408" t="inlineStr">
        <is>
          <t>West</t>
        </is>
      </c>
      <c r="D408" t="inlineStr">
        <is>
          <t>CO</t>
        </is>
      </c>
      <c r="E408" t="inlineStr">
        <is>
          <t>Denver</t>
        </is>
      </c>
      <c r="F408" t="inlineStr">
        <is>
          <t>Partner</t>
        </is>
      </c>
      <c r="G408" t="inlineStr">
        <is>
          <t>Small Business</t>
        </is>
      </c>
      <c r="H408" t="inlineStr">
        <is>
          <t>Technology</t>
        </is>
      </c>
      <c r="I408" t="inlineStr">
        <is>
          <t>Keyboard</t>
        </is>
      </c>
      <c r="J408" s="2" t="n">
        <v>3</v>
      </c>
      <c r="K408" s="3" t="n">
        <v>44.99</v>
      </c>
      <c r="L408" s="3" t="n">
        <v>134.97</v>
      </c>
      <c r="M408" s="3" t="n">
        <v>100.33</v>
      </c>
      <c r="N408" s="3" t="n">
        <v>34.64</v>
      </c>
    </row>
    <row r="409">
      <c r="A409" t="inlineStr">
        <is>
          <t>SO-2409-10407</t>
        </is>
      </c>
      <c r="B409" s="1" t="n">
        <v>45550</v>
      </c>
      <c r="C409" t="inlineStr">
        <is>
          <t>South</t>
        </is>
      </c>
      <c r="D409" t="inlineStr">
        <is>
          <t>AL</t>
        </is>
      </c>
      <c r="E409" t="inlineStr">
        <is>
          <t>Birmingham</t>
        </is>
      </c>
      <c r="F409" t="inlineStr">
        <is>
          <t>In-Store</t>
        </is>
      </c>
      <c r="G409" t="inlineStr">
        <is>
          <t>Corporate</t>
        </is>
      </c>
      <c r="H409" t="inlineStr">
        <is>
          <t>Technology</t>
        </is>
      </c>
      <c r="I409" t="inlineStr">
        <is>
          <t>Mouse</t>
        </is>
      </c>
      <c r="J409" s="2" t="n">
        <v>4</v>
      </c>
      <c r="K409" s="3" t="n">
        <v>18.07</v>
      </c>
      <c r="L409" s="3" t="n">
        <v>72.28</v>
      </c>
      <c r="M409" s="3" t="n">
        <v>49.12</v>
      </c>
      <c r="N409" s="3" t="n">
        <v>23.16</v>
      </c>
    </row>
    <row r="410">
      <c r="A410" t="inlineStr">
        <is>
          <t>SO-2504-10408</t>
        </is>
      </c>
      <c r="B410" s="1" t="n">
        <v>45776</v>
      </c>
      <c r="C410" t="inlineStr">
        <is>
          <t>South</t>
        </is>
      </c>
      <c r="D410" t="inlineStr">
        <is>
          <t>FL</t>
        </is>
      </c>
      <c r="E410" t="inlineStr">
        <is>
          <t>Miami</t>
        </is>
      </c>
      <c r="F410" t="inlineStr">
        <is>
          <t>Partner</t>
        </is>
      </c>
      <c r="G410" t="inlineStr">
        <is>
          <t>Corporate</t>
        </is>
      </c>
      <c r="H410" t="inlineStr">
        <is>
          <t>Technology</t>
        </is>
      </c>
      <c r="I410" t="inlineStr">
        <is>
          <t>Mouse</t>
        </is>
      </c>
      <c r="J410" s="2" t="n">
        <v>1</v>
      </c>
      <c r="K410" s="3" t="n">
        <v>17.96</v>
      </c>
      <c r="L410" s="3" t="n">
        <v>17.96</v>
      </c>
      <c r="M410" s="3" t="n">
        <v>13.84</v>
      </c>
      <c r="N410" s="3" t="n">
        <v>4.12</v>
      </c>
    </row>
    <row r="411">
      <c r="A411" t="inlineStr">
        <is>
          <t>SO-2412-10409</t>
        </is>
      </c>
      <c r="B411" s="1" t="n">
        <v>45628</v>
      </c>
      <c r="C411" t="inlineStr">
        <is>
          <t>Midwest</t>
        </is>
      </c>
      <c r="D411" t="inlineStr">
        <is>
          <t>OH</t>
        </is>
      </c>
      <c r="E411" t="inlineStr">
        <is>
          <t>Columbus</t>
        </is>
      </c>
      <c r="F411" t="inlineStr">
        <is>
          <t>Online</t>
        </is>
      </c>
      <c r="G411" t="inlineStr">
        <is>
          <t>Consumer</t>
        </is>
      </c>
      <c r="H411" t="inlineStr">
        <is>
          <t>Office Supplies</t>
        </is>
      </c>
      <c r="I411" t="inlineStr">
        <is>
          <t>Stapler</t>
        </is>
      </c>
      <c r="J411" s="2" t="n">
        <v>1</v>
      </c>
      <c r="K411" s="3" t="n">
        <v>13.14</v>
      </c>
      <c r="L411" s="3" t="n">
        <v>13.14</v>
      </c>
      <c r="M411" s="3" t="n">
        <v>7.9</v>
      </c>
      <c r="N411" s="3" t="n">
        <v>5.24</v>
      </c>
    </row>
    <row r="412">
      <c r="A412" t="inlineStr">
        <is>
          <t>SO-2501-10410</t>
        </is>
      </c>
      <c r="B412" s="1" t="n">
        <v>45667</v>
      </c>
      <c r="C412" t="inlineStr">
        <is>
          <t>Midwest</t>
        </is>
      </c>
      <c r="D412" t="inlineStr">
        <is>
          <t>IL</t>
        </is>
      </c>
      <c r="E412" t="inlineStr">
        <is>
          <t>Chicago</t>
        </is>
      </c>
      <c r="F412" t="inlineStr">
        <is>
          <t>Online</t>
        </is>
      </c>
      <c r="G412" t="inlineStr">
        <is>
          <t>Small Business</t>
        </is>
      </c>
      <c r="H412" t="inlineStr">
        <is>
          <t>Furniture</t>
        </is>
      </c>
      <c r="I412" t="inlineStr">
        <is>
          <t>Standing Desk</t>
        </is>
      </c>
      <c r="J412" s="2" t="n">
        <v>5</v>
      </c>
      <c r="K412" s="3" t="n">
        <v>264.43</v>
      </c>
      <c r="L412" s="3" t="n">
        <v>1322.15</v>
      </c>
      <c r="M412" s="3" t="n">
        <v>907.77</v>
      </c>
      <c r="N412" s="3" t="n">
        <v>414.38</v>
      </c>
    </row>
    <row r="413">
      <c r="A413" t="inlineStr">
        <is>
          <t>SO-2502-10411</t>
        </is>
      </c>
      <c r="B413" s="1" t="n">
        <v>45709</v>
      </c>
      <c r="C413" t="inlineStr">
        <is>
          <t>South</t>
        </is>
      </c>
      <c r="D413" t="inlineStr">
        <is>
          <t>TN</t>
        </is>
      </c>
      <c r="E413" t="inlineStr">
        <is>
          <t>Nashville</t>
        </is>
      </c>
      <c r="F413" t="inlineStr">
        <is>
          <t>Partner</t>
        </is>
      </c>
      <c r="G413" t="inlineStr">
        <is>
          <t>Small Business</t>
        </is>
      </c>
      <c r="H413" t="inlineStr">
        <is>
          <t>Office Supplies</t>
        </is>
      </c>
      <c r="I413" t="inlineStr">
        <is>
          <t>Pens</t>
        </is>
      </c>
      <c r="J413" s="2" t="n">
        <v>4</v>
      </c>
      <c r="K413" s="3" t="n">
        <v>4.53</v>
      </c>
      <c r="L413" s="3" t="n">
        <v>18.12</v>
      </c>
      <c r="M413" s="3" t="n">
        <v>11.73</v>
      </c>
      <c r="N413" s="3" t="n">
        <v>6.39</v>
      </c>
    </row>
    <row r="414">
      <c r="A414" t="inlineStr">
        <is>
          <t>SO-2405-10412</t>
        </is>
      </c>
      <c r="B414" s="1" t="n">
        <v>45413</v>
      </c>
      <c r="C414" t="inlineStr">
        <is>
          <t>South</t>
        </is>
      </c>
      <c r="D414" t="inlineStr">
        <is>
          <t>AL</t>
        </is>
      </c>
      <c r="E414" t="inlineStr">
        <is>
          <t>Birmingham</t>
        </is>
      </c>
      <c r="F414" t="inlineStr">
        <is>
          <t>Online</t>
        </is>
      </c>
      <c r="G414" t="inlineStr">
        <is>
          <t>Small Business</t>
        </is>
      </c>
      <c r="H414" t="inlineStr">
        <is>
          <t>Office Supplies</t>
        </is>
      </c>
      <c r="I414" t="inlineStr">
        <is>
          <t>Binders</t>
        </is>
      </c>
      <c r="J414" s="2" t="n">
        <v>1</v>
      </c>
      <c r="K414" s="3" t="n">
        <v>10.75</v>
      </c>
      <c r="L414" s="3" t="n">
        <v>10.75</v>
      </c>
      <c r="M414" s="3" t="n">
        <v>7.34</v>
      </c>
      <c r="N414" s="3" t="n">
        <v>3.41</v>
      </c>
    </row>
    <row r="415">
      <c r="A415" t="inlineStr">
        <is>
          <t>SO-2512-10413</t>
        </is>
      </c>
      <c r="B415" s="1" t="n">
        <v>45999</v>
      </c>
      <c r="C415" t="inlineStr">
        <is>
          <t>West</t>
        </is>
      </c>
      <c r="D415" t="inlineStr">
        <is>
          <t>WA</t>
        </is>
      </c>
      <c r="E415" t="inlineStr">
        <is>
          <t>Seattle</t>
        </is>
      </c>
      <c r="F415" t="inlineStr">
        <is>
          <t>Online</t>
        </is>
      </c>
      <c r="G415" t="inlineStr">
        <is>
          <t>Small Business</t>
        </is>
      </c>
      <c r="H415" t="inlineStr">
        <is>
          <t>Furniture</t>
        </is>
      </c>
      <c r="I415" t="inlineStr">
        <is>
          <t>Bookshelf</t>
        </is>
      </c>
      <c r="J415" s="2" t="n">
        <v>1</v>
      </c>
      <c r="K415" s="3" t="n">
        <v>96.81999999999999</v>
      </c>
      <c r="L415" s="3" t="n">
        <v>96.81999999999999</v>
      </c>
      <c r="M415" s="3" t="n">
        <v>56.61</v>
      </c>
      <c r="N415" s="3" t="n">
        <v>40.21</v>
      </c>
    </row>
    <row r="416">
      <c r="A416" t="inlineStr">
        <is>
          <t>SO-2403-10414</t>
        </is>
      </c>
      <c r="B416" s="1" t="n">
        <v>45360</v>
      </c>
      <c r="C416" t="inlineStr">
        <is>
          <t>Midwest</t>
        </is>
      </c>
      <c r="D416" t="inlineStr">
        <is>
          <t>OH</t>
        </is>
      </c>
      <c r="E416" t="inlineStr">
        <is>
          <t>Columbus</t>
        </is>
      </c>
      <c r="F416" t="inlineStr">
        <is>
          <t>Partner</t>
        </is>
      </c>
      <c r="G416" t="inlineStr">
        <is>
          <t>Consumer</t>
        </is>
      </c>
      <c r="H416" t="inlineStr">
        <is>
          <t>Furniture</t>
        </is>
      </c>
      <c r="I416" t="inlineStr">
        <is>
          <t>Desk Chair</t>
        </is>
      </c>
      <c r="J416" s="2" t="n">
        <v>6</v>
      </c>
      <c r="K416" s="3" t="n">
        <v>133.81</v>
      </c>
      <c r="L416" s="3" t="n">
        <v>802.86</v>
      </c>
      <c r="M416" s="3" t="n">
        <v>474.39</v>
      </c>
      <c r="N416" s="3" t="n">
        <v>328.47</v>
      </c>
    </row>
    <row r="417">
      <c r="A417" t="inlineStr">
        <is>
          <t>SO-2410-10415</t>
        </is>
      </c>
      <c r="B417" s="1" t="n">
        <v>45572</v>
      </c>
      <c r="C417" t="inlineStr">
        <is>
          <t>South</t>
        </is>
      </c>
      <c r="D417" t="inlineStr">
        <is>
          <t>FL</t>
        </is>
      </c>
      <c r="E417" t="inlineStr">
        <is>
          <t>Miami</t>
        </is>
      </c>
      <c r="F417" t="inlineStr">
        <is>
          <t>In-Store</t>
        </is>
      </c>
      <c r="G417" t="inlineStr">
        <is>
          <t>Consumer</t>
        </is>
      </c>
      <c r="H417" t="inlineStr">
        <is>
          <t>Office Supplies</t>
        </is>
      </c>
      <c r="I417" t="inlineStr">
        <is>
          <t>Pens</t>
        </is>
      </c>
      <c r="J417" s="2" t="n">
        <v>3</v>
      </c>
      <c r="K417" s="3" t="n">
        <v>4.57</v>
      </c>
      <c r="L417" s="3" t="n">
        <v>13.71</v>
      </c>
      <c r="M417" s="3" t="n">
        <v>9.029999999999999</v>
      </c>
      <c r="N417" s="3" t="n">
        <v>4.68</v>
      </c>
    </row>
    <row r="418">
      <c r="A418" t="inlineStr">
        <is>
          <t>SO-2404-10416</t>
        </is>
      </c>
      <c r="B418" s="1" t="n">
        <v>45389</v>
      </c>
      <c r="C418" t="inlineStr">
        <is>
          <t>South</t>
        </is>
      </c>
      <c r="D418" t="inlineStr">
        <is>
          <t>FL</t>
        </is>
      </c>
      <c r="E418" t="inlineStr">
        <is>
          <t>Miami</t>
        </is>
      </c>
      <c r="F418" t="inlineStr">
        <is>
          <t>In-Store</t>
        </is>
      </c>
      <c r="G418" t="inlineStr">
        <is>
          <t>Corporate</t>
        </is>
      </c>
      <c r="H418" t="inlineStr">
        <is>
          <t>Technology</t>
        </is>
      </c>
      <c r="I418" t="inlineStr">
        <is>
          <t>Laptop Stand</t>
        </is>
      </c>
      <c r="J418" s="2" t="n">
        <v>2</v>
      </c>
      <c r="K418" s="3" t="n">
        <v>29.17</v>
      </c>
      <c r="L418" s="3" t="n">
        <v>58.34</v>
      </c>
      <c r="M418" s="3" t="n">
        <v>39.68</v>
      </c>
      <c r="N418" s="3" t="n">
        <v>18.66</v>
      </c>
    </row>
    <row r="419">
      <c r="A419" t="inlineStr">
        <is>
          <t>SO-2511-10417</t>
        </is>
      </c>
      <c r="B419" s="1" t="n">
        <v>45978</v>
      </c>
      <c r="C419" t="inlineStr">
        <is>
          <t>Midwest</t>
        </is>
      </c>
      <c r="D419" t="inlineStr">
        <is>
          <t>OH</t>
        </is>
      </c>
      <c r="E419" t="inlineStr">
        <is>
          <t>Columbus</t>
        </is>
      </c>
      <c r="F419" t="inlineStr">
        <is>
          <t>In-Store</t>
        </is>
      </c>
      <c r="G419" t="inlineStr">
        <is>
          <t>Corporate</t>
        </is>
      </c>
      <c r="H419" t="inlineStr">
        <is>
          <t>Office Supplies</t>
        </is>
      </c>
      <c r="I419" t="inlineStr">
        <is>
          <t>Stapler</t>
        </is>
      </c>
      <c r="J419" s="2" t="n">
        <v>4</v>
      </c>
      <c r="K419" s="3" t="n">
        <v>14.27</v>
      </c>
      <c r="L419" s="3" t="n">
        <v>57.08</v>
      </c>
      <c r="M419" s="3" t="n">
        <v>33.33</v>
      </c>
      <c r="N419" s="3" t="n">
        <v>23.75</v>
      </c>
    </row>
    <row r="420">
      <c r="A420" t="inlineStr">
        <is>
          <t>SO-2407-10418</t>
        </is>
      </c>
      <c r="B420" s="1" t="n">
        <v>45476</v>
      </c>
      <c r="C420" t="inlineStr">
        <is>
          <t>South</t>
        </is>
      </c>
      <c r="D420" t="inlineStr">
        <is>
          <t>AL</t>
        </is>
      </c>
      <c r="E420" t="inlineStr">
        <is>
          <t>Birmingham</t>
        </is>
      </c>
      <c r="F420" t="inlineStr">
        <is>
          <t>Online</t>
        </is>
      </c>
      <c r="G420" t="inlineStr">
        <is>
          <t>Consumer</t>
        </is>
      </c>
      <c r="H420" t="inlineStr">
        <is>
          <t>Office Supplies</t>
        </is>
      </c>
      <c r="I420" t="inlineStr">
        <is>
          <t>Paper</t>
        </is>
      </c>
      <c r="J420" s="2" t="n">
        <v>3</v>
      </c>
      <c r="K420" s="3" t="n">
        <v>6.27</v>
      </c>
      <c r="L420" s="3" t="n">
        <v>18.81</v>
      </c>
      <c r="M420" s="3" t="n">
        <v>12.21</v>
      </c>
      <c r="N420" s="3" t="n">
        <v>6.6</v>
      </c>
    </row>
    <row r="421">
      <c r="A421" t="inlineStr">
        <is>
          <t>SO-2410-10419</t>
        </is>
      </c>
      <c r="B421" s="1" t="n">
        <v>45594</v>
      </c>
      <c r="C421" t="inlineStr">
        <is>
          <t>West</t>
        </is>
      </c>
      <c r="D421" t="inlineStr">
        <is>
          <t>CA</t>
        </is>
      </c>
      <c r="E421" t="inlineStr">
        <is>
          <t>Los Angeles</t>
        </is>
      </c>
      <c r="F421" t="inlineStr">
        <is>
          <t>Online</t>
        </is>
      </c>
      <c r="G421" t="inlineStr">
        <is>
          <t>Corporate</t>
        </is>
      </c>
      <c r="H421" t="inlineStr">
        <is>
          <t>Office Supplies</t>
        </is>
      </c>
      <c r="I421" t="inlineStr">
        <is>
          <t>Stapler</t>
        </is>
      </c>
      <c r="J421" s="2" t="n">
        <v>4</v>
      </c>
      <c r="K421" s="3" t="n">
        <v>12.03</v>
      </c>
      <c r="L421" s="3" t="n">
        <v>48.12</v>
      </c>
      <c r="M421" s="3" t="n">
        <v>27.11</v>
      </c>
      <c r="N421" s="3" t="n">
        <v>21.01</v>
      </c>
    </row>
    <row r="422">
      <c r="A422" t="inlineStr">
        <is>
          <t>SO-2506-10420</t>
        </is>
      </c>
      <c r="B422" s="1" t="n">
        <v>45827</v>
      </c>
      <c r="C422" t="inlineStr">
        <is>
          <t>Northeast</t>
        </is>
      </c>
      <c r="D422" t="inlineStr">
        <is>
          <t>PA</t>
        </is>
      </c>
      <c r="E422" t="inlineStr">
        <is>
          <t>Philadelphia</t>
        </is>
      </c>
      <c r="F422" t="inlineStr">
        <is>
          <t>Partner</t>
        </is>
      </c>
      <c r="G422" t="inlineStr">
        <is>
          <t>Consumer</t>
        </is>
      </c>
      <c r="H422" t="inlineStr">
        <is>
          <t>Technology</t>
        </is>
      </c>
      <c r="I422" t="inlineStr">
        <is>
          <t>Keyboard</t>
        </is>
      </c>
      <c r="J422" s="2" t="n">
        <v>6</v>
      </c>
      <c r="K422" s="3" t="n">
        <v>35.65</v>
      </c>
      <c r="L422" s="3" t="n">
        <v>213.9</v>
      </c>
      <c r="M422" s="3" t="n">
        <v>138.03</v>
      </c>
      <c r="N422" s="3" t="n">
        <v>75.87</v>
      </c>
    </row>
    <row r="423">
      <c r="A423" t="inlineStr">
        <is>
          <t>SO-2501-10421</t>
        </is>
      </c>
      <c r="B423" s="1" t="n">
        <v>45685</v>
      </c>
      <c r="C423" t="inlineStr">
        <is>
          <t>Northeast</t>
        </is>
      </c>
      <c r="D423" t="inlineStr">
        <is>
          <t>MA</t>
        </is>
      </c>
      <c r="E423" t="inlineStr">
        <is>
          <t>Boston</t>
        </is>
      </c>
      <c r="F423" t="inlineStr">
        <is>
          <t>In-Store</t>
        </is>
      </c>
      <c r="G423" t="inlineStr">
        <is>
          <t>Consumer</t>
        </is>
      </c>
      <c r="H423" t="inlineStr">
        <is>
          <t>Technology</t>
        </is>
      </c>
      <c r="I423" t="inlineStr">
        <is>
          <t>Laptop Stand</t>
        </is>
      </c>
      <c r="J423" s="2" t="n">
        <v>3</v>
      </c>
      <c r="K423" s="3" t="n">
        <v>33.88</v>
      </c>
      <c r="L423" s="3" t="n">
        <v>101.64</v>
      </c>
      <c r="M423" s="3" t="n">
        <v>72.84999999999999</v>
      </c>
      <c r="N423" s="3" t="n">
        <v>28.79</v>
      </c>
    </row>
    <row r="424">
      <c r="A424" t="inlineStr">
        <is>
          <t>SO-2504-10422</t>
        </is>
      </c>
      <c r="B424" s="1" t="n">
        <v>45775</v>
      </c>
      <c r="C424" t="inlineStr">
        <is>
          <t>West</t>
        </is>
      </c>
      <c r="D424" t="inlineStr">
        <is>
          <t>AZ</t>
        </is>
      </c>
      <c r="E424" t="inlineStr">
        <is>
          <t>Phoenix</t>
        </is>
      </c>
      <c r="F424" t="inlineStr">
        <is>
          <t>In-Store</t>
        </is>
      </c>
      <c r="G424" t="inlineStr">
        <is>
          <t>Corporate</t>
        </is>
      </c>
      <c r="H424" t="inlineStr">
        <is>
          <t>Office Supplies</t>
        </is>
      </c>
      <c r="I424" t="inlineStr">
        <is>
          <t>Paper</t>
        </is>
      </c>
      <c r="J424" s="2" t="n">
        <v>2</v>
      </c>
      <c r="K424" s="3" t="n">
        <v>6.15</v>
      </c>
      <c r="L424" s="3" t="n">
        <v>12.3</v>
      </c>
      <c r="M424" s="3" t="n">
        <v>7.46</v>
      </c>
      <c r="N424" s="3" t="n">
        <v>4.84</v>
      </c>
    </row>
    <row r="425">
      <c r="A425" t="inlineStr">
        <is>
          <t>SO-2408-10423</t>
        </is>
      </c>
      <c r="B425" s="1" t="n">
        <v>45528</v>
      </c>
      <c r="C425" t="inlineStr">
        <is>
          <t>South</t>
        </is>
      </c>
      <c r="D425" t="inlineStr">
        <is>
          <t>GA</t>
        </is>
      </c>
      <c r="E425" t="inlineStr">
        <is>
          <t>Atlanta</t>
        </is>
      </c>
      <c r="F425" t="inlineStr">
        <is>
          <t>In-Store</t>
        </is>
      </c>
      <c r="G425" t="inlineStr">
        <is>
          <t>Corporate</t>
        </is>
      </c>
      <c r="H425" t="inlineStr">
        <is>
          <t>Technology</t>
        </is>
      </c>
      <c r="I425" t="inlineStr">
        <is>
          <t>Laptop Stand</t>
        </is>
      </c>
      <c r="J425" s="2" t="n">
        <v>4</v>
      </c>
      <c r="K425" s="3" t="n">
        <v>26.33</v>
      </c>
      <c r="L425" s="3" t="n">
        <v>105.32</v>
      </c>
      <c r="M425" s="3" t="n">
        <v>72.28</v>
      </c>
      <c r="N425" s="3" t="n">
        <v>33.04</v>
      </c>
    </row>
    <row r="426">
      <c r="A426" t="inlineStr">
        <is>
          <t>SO-2402-10424</t>
        </is>
      </c>
      <c r="B426" s="1" t="n">
        <v>45350</v>
      </c>
      <c r="C426" t="inlineStr">
        <is>
          <t>South</t>
        </is>
      </c>
      <c r="D426" t="inlineStr">
        <is>
          <t>GA</t>
        </is>
      </c>
      <c r="E426" t="inlineStr">
        <is>
          <t>Atlanta</t>
        </is>
      </c>
      <c r="F426" t="inlineStr">
        <is>
          <t>Online</t>
        </is>
      </c>
      <c r="G426" t="inlineStr">
        <is>
          <t>Small Business</t>
        </is>
      </c>
      <c r="H426" t="inlineStr">
        <is>
          <t>Office Supplies</t>
        </is>
      </c>
      <c r="I426" t="inlineStr">
        <is>
          <t>Paper</t>
        </is>
      </c>
      <c r="J426" s="2" t="n">
        <v>4</v>
      </c>
      <c r="K426" s="3" t="n">
        <v>6.5</v>
      </c>
      <c r="L426" s="3" t="n">
        <v>26</v>
      </c>
      <c r="M426" s="3" t="n">
        <v>16.03</v>
      </c>
      <c r="N426" s="3" t="n">
        <v>9.970000000000001</v>
      </c>
    </row>
    <row r="427">
      <c r="A427" t="inlineStr">
        <is>
          <t>SO-2404-10425</t>
        </is>
      </c>
      <c r="B427" s="1" t="n">
        <v>45404</v>
      </c>
      <c r="C427" t="inlineStr">
        <is>
          <t>Northeast</t>
        </is>
      </c>
      <c r="D427" t="inlineStr">
        <is>
          <t>NJ</t>
        </is>
      </c>
      <c r="E427" t="inlineStr">
        <is>
          <t>Newark</t>
        </is>
      </c>
      <c r="F427" t="inlineStr">
        <is>
          <t>Online</t>
        </is>
      </c>
      <c r="G427" t="inlineStr">
        <is>
          <t>Corporate</t>
        </is>
      </c>
      <c r="H427" t="inlineStr">
        <is>
          <t>Furniture</t>
        </is>
      </c>
      <c r="I427" t="inlineStr">
        <is>
          <t>Standing Desk</t>
        </is>
      </c>
      <c r="J427" s="2" t="n">
        <v>3</v>
      </c>
      <c r="K427" s="3" t="n">
        <v>305.65</v>
      </c>
      <c r="L427" s="3" t="n">
        <v>916.95</v>
      </c>
      <c r="M427" s="3" t="n">
        <v>665.5700000000001</v>
      </c>
      <c r="N427" s="3" t="n">
        <v>251.38</v>
      </c>
    </row>
    <row r="428">
      <c r="A428" t="inlineStr">
        <is>
          <t>SO-2504-10426</t>
        </is>
      </c>
      <c r="B428" s="1" t="n">
        <v>45771</v>
      </c>
      <c r="C428" t="inlineStr">
        <is>
          <t>South</t>
        </is>
      </c>
      <c r="D428" t="inlineStr">
        <is>
          <t>AL</t>
        </is>
      </c>
      <c r="E428" t="inlineStr">
        <is>
          <t>Birmingham</t>
        </is>
      </c>
      <c r="F428" t="inlineStr">
        <is>
          <t>In-Store</t>
        </is>
      </c>
      <c r="G428" t="inlineStr">
        <is>
          <t>Small Business</t>
        </is>
      </c>
      <c r="H428" t="inlineStr">
        <is>
          <t>Furniture</t>
        </is>
      </c>
      <c r="I428" t="inlineStr">
        <is>
          <t>Standing Desk</t>
        </is>
      </c>
      <c r="J428" s="2" t="n">
        <v>2</v>
      </c>
      <c r="K428" s="3" t="n">
        <v>300.93</v>
      </c>
      <c r="L428" s="3" t="n">
        <v>601.86</v>
      </c>
      <c r="M428" s="3" t="n">
        <v>397.92</v>
      </c>
      <c r="N428" s="3" t="n">
        <v>203.94</v>
      </c>
    </row>
    <row r="429">
      <c r="A429" t="inlineStr">
        <is>
          <t>SO-2512-10427</t>
        </is>
      </c>
      <c r="B429" s="1" t="n">
        <v>46012</v>
      </c>
      <c r="C429" t="inlineStr">
        <is>
          <t>Northeast</t>
        </is>
      </c>
      <c r="D429" t="inlineStr">
        <is>
          <t>NY</t>
        </is>
      </c>
      <c r="E429" t="inlineStr">
        <is>
          <t>New York</t>
        </is>
      </c>
      <c r="F429" t="inlineStr">
        <is>
          <t>In-Store</t>
        </is>
      </c>
      <c r="G429" t="inlineStr">
        <is>
          <t>Corporate</t>
        </is>
      </c>
      <c r="H429" t="inlineStr">
        <is>
          <t>Technology</t>
        </is>
      </c>
      <c r="I429" t="inlineStr">
        <is>
          <t>Monitor</t>
        </is>
      </c>
      <c r="J429" s="2" t="n">
        <v>6</v>
      </c>
      <c r="K429" s="3" t="n">
        <v>158.28</v>
      </c>
      <c r="L429" s="3" t="n">
        <v>949.6799999999999</v>
      </c>
      <c r="M429" s="3" t="n">
        <v>704.6900000000001</v>
      </c>
      <c r="N429" s="3" t="n">
        <v>244.99</v>
      </c>
    </row>
    <row r="430">
      <c r="A430" t="inlineStr">
        <is>
          <t>SO-2512-10428</t>
        </is>
      </c>
      <c r="B430" s="1" t="n">
        <v>45995</v>
      </c>
      <c r="C430" t="inlineStr">
        <is>
          <t>Midwest</t>
        </is>
      </c>
      <c r="D430" t="inlineStr">
        <is>
          <t>OH</t>
        </is>
      </c>
      <c r="E430" t="inlineStr">
        <is>
          <t>Columbus</t>
        </is>
      </c>
      <c r="F430" t="inlineStr">
        <is>
          <t>Partner</t>
        </is>
      </c>
      <c r="G430" t="inlineStr">
        <is>
          <t>Consumer</t>
        </is>
      </c>
      <c r="H430" t="inlineStr">
        <is>
          <t>Furniture</t>
        </is>
      </c>
      <c r="I430" t="inlineStr">
        <is>
          <t>Desk Chair</t>
        </is>
      </c>
      <c r="J430" s="2" t="n">
        <v>5</v>
      </c>
      <c r="K430" s="3" t="n">
        <v>134.96</v>
      </c>
      <c r="L430" s="3" t="n">
        <v>674.8</v>
      </c>
      <c r="M430" s="3" t="n">
        <v>465.21</v>
      </c>
      <c r="N430" s="3" t="n">
        <v>209.59</v>
      </c>
    </row>
    <row r="431">
      <c r="A431" t="inlineStr">
        <is>
          <t>SO-2402-10429</t>
        </is>
      </c>
      <c r="B431" s="1" t="n">
        <v>45334</v>
      </c>
      <c r="C431" t="inlineStr">
        <is>
          <t>Northeast</t>
        </is>
      </c>
      <c r="D431" t="inlineStr">
        <is>
          <t>NJ</t>
        </is>
      </c>
      <c r="E431" t="inlineStr">
        <is>
          <t>Newark</t>
        </is>
      </c>
      <c r="F431" t="inlineStr">
        <is>
          <t>In-Store</t>
        </is>
      </c>
      <c r="G431" t="inlineStr">
        <is>
          <t>Small Business</t>
        </is>
      </c>
      <c r="H431" t="inlineStr">
        <is>
          <t>Furniture</t>
        </is>
      </c>
      <c r="I431" t="inlineStr">
        <is>
          <t>Standing Desk</t>
        </is>
      </c>
      <c r="J431" s="2" t="n">
        <v>1</v>
      </c>
      <c r="K431" s="3" t="n">
        <v>313.59</v>
      </c>
      <c r="L431" s="3" t="n">
        <v>313.59</v>
      </c>
      <c r="M431" s="3" t="n">
        <v>232.29</v>
      </c>
      <c r="N431" s="3" t="n">
        <v>81.3</v>
      </c>
    </row>
    <row r="432">
      <c r="A432" t="inlineStr">
        <is>
          <t>SO-2503-10430</t>
        </is>
      </c>
      <c r="B432" s="1" t="n">
        <v>45741</v>
      </c>
      <c r="C432" t="inlineStr">
        <is>
          <t>Northeast</t>
        </is>
      </c>
      <c r="D432" t="inlineStr">
        <is>
          <t>MA</t>
        </is>
      </c>
      <c r="E432" t="inlineStr">
        <is>
          <t>Boston</t>
        </is>
      </c>
      <c r="F432" t="inlineStr">
        <is>
          <t>Online</t>
        </is>
      </c>
      <c r="G432" t="inlineStr">
        <is>
          <t>Consumer</t>
        </is>
      </c>
      <c r="H432" t="inlineStr">
        <is>
          <t>Office Supplies</t>
        </is>
      </c>
      <c r="I432" t="inlineStr">
        <is>
          <t>Stapler</t>
        </is>
      </c>
      <c r="J432" s="2" t="n">
        <v>3</v>
      </c>
      <c r="K432" s="3" t="n">
        <v>14.55</v>
      </c>
      <c r="L432" s="3" t="n">
        <v>43.65</v>
      </c>
      <c r="M432" s="3" t="n">
        <v>24.54</v>
      </c>
      <c r="N432" s="3" t="n">
        <v>19.11</v>
      </c>
    </row>
    <row r="433">
      <c r="A433" t="inlineStr">
        <is>
          <t>SO-2505-10431</t>
        </is>
      </c>
      <c r="B433" s="1" t="n">
        <v>45787</v>
      </c>
      <c r="C433" t="inlineStr">
        <is>
          <t>Midwest</t>
        </is>
      </c>
      <c r="D433" t="inlineStr">
        <is>
          <t>MI</t>
        </is>
      </c>
      <c r="E433" t="inlineStr">
        <is>
          <t>Detroit</t>
        </is>
      </c>
      <c r="F433" t="inlineStr">
        <is>
          <t>Online</t>
        </is>
      </c>
      <c r="G433" t="inlineStr">
        <is>
          <t>Consumer</t>
        </is>
      </c>
      <c r="H433" t="inlineStr">
        <is>
          <t>Furniture</t>
        </is>
      </c>
      <c r="I433" t="inlineStr">
        <is>
          <t>Standing Desk</t>
        </is>
      </c>
      <c r="J433" s="2" t="n">
        <v>1</v>
      </c>
      <c r="K433" s="3" t="n">
        <v>339.54</v>
      </c>
      <c r="L433" s="3" t="n">
        <v>339.54</v>
      </c>
      <c r="M433" s="3" t="n">
        <v>197.66</v>
      </c>
      <c r="N433" s="3" t="n">
        <v>141.88</v>
      </c>
    </row>
    <row r="434">
      <c r="A434" t="inlineStr">
        <is>
          <t>SO-2504-10432</t>
        </is>
      </c>
      <c r="B434" s="1" t="n">
        <v>45773</v>
      </c>
      <c r="C434" t="inlineStr">
        <is>
          <t>West</t>
        </is>
      </c>
      <c r="D434" t="inlineStr">
        <is>
          <t>AZ</t>
        </is>
      </c>
      <c r="E434" t="inlineStr">
        <is>
          <t>Phoenix</t>
        </is>
      </c>
      <c r="F434" t="inlineStr">
        <is>
          <t>Online</t>
        </is>
      </c>
      <c r="G434" t="inlineStr">
        <is>
          <t>Corporate</t>
        </is>
      </c>
      <c r="H434" t="inlineStr">
        <is>
          <t>Furniture</t>
        </is>
      </c>
      <c r="I434" t="inlineStr">
        <is>
          <t>Filing Cabinet</t>
        </is>
      </c>
      <c r="J434" s="2" t="n">
        <v>2</v>
      </c>
      <c r="K434" s="3" t="n">
        <v>168.27</v>
      </c>
      <c r="L434" s="3" t="n">
        <v>336.54</v>
      </c>
      <c r="M434" s="3" t="n">
        <v>206.2</v>
      </c>
      <c r="N434" s="3" t="n">
        <v>130.34</v>
      </c>
    </row>
    <row r="435">
      <c r="A435" t="inlineStr">
        <is>
          <t>SO-2508-10433</t>
        </is>
      </c>
      <c r="B435" s="1" t="n">
        <v>45874</v>
      </c>
      <c r="C435" t="inlineStr">
        <is>
          <t>West</t>
        </is>
      </c>
      <c r="D435" t="inlineStr">
        <is>
          <t>AZ</t>
        </is>
      </c>
      <c r="E435" t="inlineStr">
        <is>
          <t>Phoenix</t>
        </is>
      </c>
      <c r="F435" t="inlineStr">
        <is>
          <t>In-Store</t>
        </is>
      </c>
      <c r="G435" t="inlineStr">
        <is>
          <t>Consumer</t>
        </is>
      </c>
      <c r="H435" t="inlineStr">
        <is>
          <t>Office Supplies</t>
        </is>
      </c>
      <c r="I435" t="inlineStr">
        <is>
          <t>Binders</t>
        </is>
      </c>
      <c r="J435" s="2" t="n">
        <v>2</v>
      </c>
      <c r="K435" s="3" t="n">
        <v>8.59</v>
      </c>
      <c r="L435" s="3" t="n">
        <v>17.18</v>
      </c>
      <c r="M435" s="3" t="n">
        <v>9.91</v>
      </c>
      <c r="N435" s="3" t="n">
        <v>7.27</v>
      </c>
    </row>
    <row r="436">
      <c r="A436" t="inlineStr">
        <is>
          <t>SO-2409-10434</t>
        </is>
      </c>
      <c r="B436" s="1" t="n">
        <v>45559</v>
      </c>
      <c r="C436" t="inlineStr">
        <is>
          <t>Northeast</t>
        </is>
      </c>
      <c r="D436" t="inlineStr">
        <is>
          <t>NY</t>
        </is>
      </c>
      <c r="E436" t="inlineStr">
        <is>
          <t>New York</t>
        </is>
      </c>
      <c r="F436" t="inlineStr">
        <is>
          <t>Online</t>
        </is>
      </c>
      <c r="G436" t="inlineStr">
        <is>
          <t>Small Business</t>
        </is>
      </c>
      <c r="H436" t="inlineStr">
        <is>
          <t>Office Supplies</t>
        </is>
      </c>
      <c r="I436" t="inlineStr">
        <is>
          <t>Binders</t>
        </is>
      </c>
      <c r="J436" s="2" t="n">
        <v>4</v>
      </c>
      <c r="K436" s="3" t="n">
        <v>10.31</v>
      </c>
      <c r="L436" s="3" t="n">
        <v>41.24</v>
      </c>
      <c r="M436" s="3" t="n">
        <v>25.62</v>
      </c>
      <c r="N436" s="3" t="n">
        <v>15.62</v>
      </c>
    </row>
    <row r="437">
      <c r="A437" t="inlineStr">
        <is>
          <t>SO-2402-10435</t>
        </is>
      </c>
      <c r="B437" s="1" t="n">
        <v>45350</v>
      </c>
      <c r="C437" t="inlineStr">
        <is>
          <t>South</t>
        </is>
      </c>
      <c r="D437" t="inlineStr">
        <is>
          <t>FL</t>
        </is>
      </c>
      <c r="E437" t="inlineStr">
        <is>
          <t>Miami</t>
        </is>
      </c>
      <c r="F437" t="inlineStr">
        <is>
          <t>Online</t>
        </is>
      </c>
      <c r="G437" t="inlineStr">
        <is>
          <t>Consumer</t>
        </is>
      </c>
      <c r="H437" t="inlineStr">
        <is>
          <t>Technology</t>
        </is>
      </c>
      <c r="I437" t="inlineStr">
        <is>
          <t>Keyboard</t>
        </is>
      </c>
      <c r="J437" s="2" t="n">
        <v>4</v>
      </c>
      <c r="K437" s="3" t="n">
        <v>44.91</v>
      </c>
      <c r="L437" s="3" t="n">
        <v>179.64</v>
      </c>
      <c r="M437" s="3" t="n">
        <v>112.16</v>
      </c>
      <c r="N437" s="3" t="n">
        <v>67.48</v>
      </c>
    </row>
    <row r="438">
      <c r="A438" t="inlineStr">
        <is>
          <t>SO-2406-10436</t>
        </is>
      </c>
      <c r="B438" s="1" t="n">
        <v>45446</v>
      </c>
      <c r="C438" t="inlineStr">
        <is>
          <t>West</t>
        </is>
      </c>
      <c r="D438" t="inlineStr">
        <is>
          <t>WA</t>
        </is>
      </c>
      <c r="E438" t="inlineStr">
        <is>
          <t>Seattle</t>
        </is>
      </c>
      <c r="F438" t="inlineStr">
        <is>
          <t>Partner</t>
        </is>
      </c>
      <c r="G438" t="inlineStr">
        <is>
          <t>Corporate</t>
        </is>
      </c>
      <c r="H438" t="inlineStr">
        <is>
          <t>Office Supplies</t>
        </is>
      </c>
      <c r="I438" t="inlineStr">
        <is>
          <t>Stapler</t>
        </is>
      </c>
      <c r="J438" s="2" t="n">
        <v>4</v>
      </c>
      <c r="K438" s="3" t="n">
        <v>14.12</v>
      </c>
      <c r="L438" s="3" t="n">
        <v>56.48</v>
      </c>
      <c r="M438" s="3" t="n">
        <v>33.21</v>
      </c>
      <c r="N438" s="3" t="n">
        <v>23.27</v>
      </c>
    </row>
    <row r="439">
      <c r="A439" t="inlineStr">
        <is>
          <t>SO-2410-10437</t>
        </is>
      </c>
      <c r="B439" s="1" t="n">
        <v>45587</v>
      </c>
      <c r="C439" t="inlineStr">
        <is>
          <t>West</t>
        </is>
      </c>
      <c r="D439" t="inlineStr">
        <is>
          <t>CA</t>
        </is>
      </c>
      <c r="E439" t="inlineStr">
        <is>
          <t>Los Angeles</t>
        </is>
      </c>
      <c r="F439" t="inlineStr">
        <is>
          <t>Online</t>
        </is>
      </c>
      <c r="G439" t="inlineStr">
        <is>
          <t>Consumer</t>
        </is>
      </c>
      <c r="H439" t="inlineStr">
        <is>
          <t>Office Supplies</t>
        </is>
      </c>
      <c r="I439" t="inlineStr">
        <is>
          <t>Stapler</t>
        </is>
      </c>
      <c r="J439" s="2" t="n">
        <v>4</v>
      </c>
      <c r="K439" s="3" t="n">
        <v>14.61</v>
      </c>
      <c r="L439" s="3" t="n">
        <v>58.44</v>
      </c>
      <c r="M439" s="3" t="n">
        <v>33.05</v>
      </c>
      <c r="N439" s="3" t="n">
        <v>25.39</v>
      </c>
    </row>
    <row r="440">
      <c r="A440" t="inlineStr">
        <is>
          <t>SO-2404-10438</t>
        </is>
      </c>
      <c r="B440" s="1" t="n">
        <v>45411</v>
      </c>
      <c r="C440" t="inlineStr">
        <is>
          <t>West</t>
        </is>
      </c>
      <c r="D440" t="inlineStr">
        <is>
          <t>CA</t>
        </is>
      </c>
      <c r="E440" t="inlineStr">
        <is>
          <t>Los Angeles</t>
        </is>
      </c>
      <c r="F440" t="inlineStr">
        <is>
          <t>In-Store</t>
        </is>
      </c>
      <c r="G440" t="inlineStr">
        <is>
          <t>Consumer</t>
        </is>
      </c>
      <c r="H440" t="inlineStr">
        <is>
          <t>Furniture</t>
        </is>
      </c>
      <c r="I440" t="inlineStr">
        <is>
          <t>Filing Cabinet</t>
        </is>
      </c>
      <c r="J440" s="2" t="n">
        <v>5</v>
      </c>
      <c r="K440" s="3" t="n">
        <v>176.73</v>
      </c>
      <c r="L440" s="3" t="n">
        <v>883.65</v>
      </c>
      <c r="M440" s="3" t="n">
        <v>589.55</v>
      </c>
      <c r="N440" s="3" t="n">
        <v>294.1</v>
      </c>
    </row>
    <row r="441">
      <c r="A441" t="inlineStr">
        <is>
          <t>SO-2512-10439</t>
        </is>
      </c>
      <c r="B441" s="1" t="n">
        <v>46000</v>
      </c>
      <c r="C441" t="inlineStr">
        <is>
          <t>West</t>
        </is>
      </c>
      <c r="D441" t="inlineStr">
        <is>
          <t>AZ</t>
        </is>
      </c>
      <c r="E441" t="inlineStr">
        <is>
          <t>Phoenix</t>
        </is>
      </c>
      <c r="F441" t="inlineStr">
        <is>
          <t>In-Store</t>
        </is>
      </c>
      <c r="G441" t="inlineStr">
        <is>
          <t>Small Business</t>
        </is>
      </c>
      <c r="H441" t="inlineStr">
        <is>
          <t>Furniture</t>
        </is>
      </c>
      <c r="I441" t="inlineStr">
        <is>
          <t>Standing Desk</t>
        </is>
      </c>
      <c r="J441" s="2" t="n">
        <v>3</v>
      </c>
      <c r="K441" s="3" t="n">
        <v>294.23</v>
      </c>
      <c r="L441" s="3" t="n">
        <v>882.6900000000001</v>
      </c>
      <c r="M441" s="3" t="n">
        <v>569.28</v>
      </c>
      <c r="N441" s="3" t="n">
        <v>313.41</v>
      </c>
    </row>
    <row r="442">
      <c r="A442" t="inlineStr">
        <is>
          <t>SO-2504-10440</t>
        </is>
      </c>
      <c r="B442" s="1" t="n">
        <v>45775</v>
      </c>
      <c r="C442" t="inlineStr">
        <is>
          <t>Northeast</t>
        </is>
      </c>
      <c r="D442" t="inlineStr">
        <is>
          <t>NJ</t>
        </is>
      </c>
      <c r="E442" t="inlineStr">
        <is>
          <t>Newark</t>
        </is>
      </c>
      <c r="F442" t="inlineStr">
        <is>
          <t>Online</t>
        </is>
      </c>
      <c r="G442" t="inlineStr">
        <is>
          <t>Small Business</t>
        </is>
      </c>
      <c r="H442" t="inlineStr">
        <is>
          <t>Technology</t>
        </is>
      </c>
      <c r="I442" t="inlineStr">
        <is>
          <t>Monitor</t>
        </is>
      </c>
      <c r="J442" s="2" t="n">
        <v>2</v>
      </c>
      <c r="K442" s="3" t="n">
        <v>189.57</v>
      </c>
      <c r="L442" s="3" t="n">
        <v>379.14</v>
      </c>
      <c r="M442" s="3" t="n">
        <v>278.07</v>
      </c>
      <c r="N442" s="3" t="n">
        <v>101.07</v>
      </c>
    </row>
    <row r="443">
      <c r="A443" t="inlineStr">
        <is>
          <t>SO-2504-10441</t>
        </is>
      </c>
      <c r="B443" s="1" t="n">
        <v>45768</v>
      </c>
      <c r="C443" t="inlineStr">
        <is>
          <t>Midwest</t>
        </is>
      </c>
      <c r="D443" t="inlineStr">
        <is>
          <t>IL</t>
        </is>
      </c>
      <c r="E443" t="inlineStr">
        <is>
          <t>Chicago</t>
        </is>
      </c>
      <c r="F443" t="inlineStr">
        <is>
          <t>In-Store</t>
        </is>
      </c>
      <c r="G443" t="inlineStr">
        <is>
          <t>Consumer</t>
        </is>
      </c>
      <c r="H443" t="inlineStr">
        <is>
          <t>Technology</t>
        </is>
      </c>
      <c r="I443" t="inlineStr">
        <is>
          <t>Laptop Stand</t>
        </is>
      </c>
      <c r="J443" s="2" t="n">
        <v>3</v>
      </c>
      <c r="K443" s="3" t="n">
        <v>28.55</v>
      </c>
      <c r="L443" s="3" t="n">
        <v>85.65000000000001</v>
      </c>
      <c r="M443" s="3" t="n">
        <v>66.13</v>
      </c>
      <c r="N443" s="3" t="n">
        <v>19.52</v>
      </c>
    </row>
    <row r="444">
      <c r="A444" t="inlineStr">
        <is>
          <t>SO-2512-10442</t>
        </is>
      </c>
      <c r="B444" s="1" t="n">
        <v>46017</v>
      </c>
      <c r="C444" t="inlineStr">
        <is>
          <t>West</t>
        </is>
      </c>
      <c r="D444" t="inlineStr">
        <is>
          <t>CA</t>
        </is>
      </c>
      <c r="E444" t="inlineStr">
        <is>
          <t>Los Angeles</t>
        </is>
      </c>
      <c r="F444" t="inlineStr">
        <is>
          <t>In-Store</t>
        </is>
      </c>
      <c r="G444" t="inlineStr">
        <is>
          <t>Corporate</t>
        </is>
      </c>
      <c r="H444" t="inlineStr">
        <is>
          <t>Office Supplies</t>
        </is>
      </c>
      <c r="I444" t="inlineStr">
        <is>
          <t>Stapler</t>
        </is>
      </c>
      <c r="J444" s="2" t="n">
        <v>3</v>
      </c>
      <c r="K444" s="3" t="n">
        <v>12.6</v>
      </c>
      <c r="L444" s="3" t="n">
        <v>37.8</v>
      </c>
      <c r="M444" s="3" t="n">
        <v>21.55</v>
      </c>
      <c r="N444" s="3" t="n">
        <v>16.25</v>
      </c>
    </row>
    <row r="445">
      <c r="A445" t="inlineStr">
        <is>
          <t>SO-2502-10443</t>
        </is>
      </c>
      <c r="B445" s="1" t="n">
        <v>45707</v>
      </c>
      <c r="C445" t="inlineStr">
        <is>
          <t>West</t>
        </is>
      </c>
      <c r="D445" t="inlineStr">
        <is>
          <t>AZ</t>
        </is>
      </c>
      <c r="E445" t="inlineStr">
        <is>
          <t>Phoenix</t>
        </is>
      </c>
      <c r="F445" t="inlineStr">
        <is>
          <t>Partner</t>
        </is>
      </c>
      <c r="G445" t="inlineStr">
        <is>
          <t>Corporate</t>
        </is>
      </c>
      <c r="H445" t="inlineStr">
        <is>
          <t>Office Supplies</t>
        </is>
      </c>
      <c r="I445" t="inlineStr">
        <is>
          <t>Pens</t>
        </is>
      </c>
      <c r="J445" s="2" t="n">
        <v>2</v>
      </c>
      <c r="K445" s="3" t="n">
        <v>4.68</v>
      </c>
      <c r="L445" s="3" t="n">
        <v>9.359999999999999</v>
      </c>
      <c r="M445" s="3" t="n">
        <v>6.38</v>
      </c>
      <c r="N445" s="3" t="n">
        <v>2.98</v>
      </c>
    </row>
    <row r="446">
      <c r="A446" t="inlineStr">
        <is>
          <t>SO-2503-10444</t>
        </is>
      </c>
      <c r="B446" s="1" t="n">
        <v>45739</v>
      </c>
      <c r="C446" t="inlineStr">
        <is>
          <t>South</t>
        </is>
      </c>
      <c r="D446" t="inlineStr">
        <is>
          <t>TN</t>
        </is>
      </c>
      <c r="E446" t="inlineStr">
        <is>
          <t>Nashville</t>
        </is>
      </c>
      <c r="F446" t="inlineStr">
        <is>
          <t>In-Store</t>
        </is>
      </c>
      <c r="G446" t="inlineStr">
        <is>
          <t>Consumer</t>
        </is>
      </c>
      <c r="H446" t="inlineStr">
        <is>
          <t>Furniture</t>
        </is>
      </c>
      <c r="I446" t="inlineStr">
        <is>
          <t>Filing Cabinet</t>
        </is>
      </c>
      <c r="J446" s="2" t="n">
        <v>2</v>
      </c>
      <c r="K446" s="3" t="n">
        <v>181.22</v>
      </c>
      <c r="L446" s="3" t="n">
        <v>362.44</v>
      </c>
      <c r="M446" s="3" t="n">
        <v>253.62</v>
      </c>
      <c r="N446" s="3" t="n">
        <v>108.82</v>
      </c>
    </row>
    <row r="447">
      <c r="A447" t="inlineStr">
        <is>
          <t>SO-2507-10445</t>
        </is>
      </c>
      <c r="B447" s="1" t="n">
        <v>45855</v>
      </c>
      <c r="C447" t="inlineStr">
        <is>
          <t>West</t>
        </is>
      </c>
      <c r="D447" t="inlineStr">
        <is>
          <t>CA</t>
        </is>
      </c>
      <c r="E447" t="inlineStr">
        <is>
          <t>Los Angeles</t>
        </is>
      </c>
      <c r="F447" t="inlineStr">
        <is>
          <t>Partner</t>
        </is>
      </c>
      <c r="G447" t="inlineStr">
        <is>
          <t>Consumer</t>
        </is>
      </c>
      <c r="H447" t="inlineStr">
        <is>
          <t>Furniture</t>
        </is>
      </c>
      <c r="I447" t="inlineStr">
        <is>
          <t>Standing Desk</t>
        </is>
      </c>
      <c r="J447" s="2" t="n">
        <v>3</v>
      </c>
      <c r="K447" s="3" t="n">
        <v>290.45</v>
      </c>
      <c r="L447" s="3" t="n">
        <v>871.35</v>
      </c>
      <c r="M447" s="3" t="n">
        <v>548.66</v>
      </c>
      <c r="N447" s="3" t="n">
        <v>322.69</v>
      </c>
    </row>
    <row r="448">
      <c r="A448" t="inlineStr">
        <is>
          <t>SO-2511-10446</t>
        </is>
      </c>
      <c r="B448" s="1" t="n">
        <v>45973</v>
      </c>
      <c r="C448" t="inlineStr">
        <is>
          <t>Northeast</t>
        </is>
      </c>
      <c r="D448" t="inlineStr">
        <is>
          <t>MA</t>
        </is>
      </c>
      <c r="E448" t="inlineStr">
        <is>
          <t>Boston</t>
        </is>
      </c>
      <c r="F448" t="inlineStr">
        <is>
          <t>Partner</t>
        </is>
      </c>
      <c r="G448" t="inlineStr">
        <is>
          <t>Consumer</t>
        </is>
      </c>
      <c r="H448" t="inlineStr">
        <is>
          <t>Technology</t>
        </is>
      </c>
      <c r="I448" t="inlineStr">
        <is>
          <t>Monitor</t>
        </is>
      </c>
      <c r="J448" s="2" t="n">
        <v>3</v>
      </c>
      <c r="K448" s="3" t="n">
        <v>188.02</v>
      </c>
      <c r="L448" s="3" t="n">
        <v>564.0599999999999</v>
      </c>
      <c r="M448" s="3" t="n">
        <v>345.01</v>
      </c>
      <c r="N448" s="3" t="n">
        <v>219.05</v>
      </c>
    </row>
    <row r="449">
      <c r="A449" t="inlineStr">
        <is>
          <t>SO-2406-10447</t>
        </is>
      </c>
      <c r="B449" s="1" t="n">
        <v>45469</v>
      </c>
      <c r="C449" t="inlineStr">
        <is>
          <t>Northeast</t>
        </is>
      </c>
      <c r="D449" t="inlineStr">
        <is>
          <t>NY</t>
        </is>
      </c>
      <c r="E449" t="inlineStr">
        <is>
          <t>New York</t>
        </is>
      </c>
      <c r="F449" t="inlineStr">
        <is>
          <t>Online</t>
        </is>
      </c>
      <c r="G449" t="inlineStr">
        <is>
          <t>Small Business</t>
        </is>
      </c>
      <c r="H449" t="inlineStr">
        <is>
          <t>Furniture</t>
        </is>
      </c>
      <c r="I449" t="inlineStr">
        <is>
          <t>Filing Cabinet</t>
        </is>
      </c>
      <c r="J449" s="2" t="n">
        <v>1</v>
      </c>
      <c r="K449" s="3" t="n">
        <v>170.82</v>
      </c>
      <c r="L449" s="3" t="n">
        <v>170.82</v>
      </c>
      <c r="M449" s="3" t="n">
        <v>99.20999999999999</v>
      </c>
      <c r="N449" s="3" t="n">
        <v>71.61</v>
      </c>
    </row>
    <row r="450">
      <c r="A450" t="inlineStr">
        <is>
          <t>SO-2401-10448</t>
        </is>
      </c>
      <c r="B450" s="1" t="n">
        <v>45316</v>
      </c>
      <c r="C450" t="inlineStr">
        <is>
          <t>Northeast</t>
        </is>
      </c>
      <c r="D450" t="inlineStr">
        <is>
          <t>NY</t>
        </is>
      </c>
      <c r="E450" t="inlineStr">
        <is>
          <t>New York</t>
        </is>
      </c>
      <c r="F450" t="inlineStr">
        <is>
          <t>Online</t>
        </is>
      </c>
      <c r="G450" t="inlineStr">
        <is>
          <t>Consumer</t>
        </is>
      </c>
      <c r="H450" t="inlineStr">
        <is>
          <t>Office Supplies</t>
        </is>
      </c>
      <c r="I450" t="inlineStr">
        <is>
          <t>Pens</t>
        </is>
      </c>
      <c r="J450" s="2" t="n">
        <v>1</v>
      </c>
      <c r="K450" s="3" t="n">
        <v>4.05</v>
      </c>
      <c r="L450" s="3" t="n">
        <v>4.05</v>
      </c>
      <c r="M450" s="3" t="n">
        <v>2.77</v>
      </c>
      <c r="N450" s="3" t="n">
        <v>1.28</v>
      </c>
    </row>
    <row r="451">
      <c r="A451" t="inlineStr">
        <is>
          <t>SO-2505-10449</t>
        </is>
      </c>
      <c r="B451" s="1" t="n">
        <v>45782</v>
      </c>
      <c r="C451" t="inlineStr">
        <is>
          <t>South</t>
        </is>
      </c>
      <c r="D451" t="inlineStr">
        <is>
          <t>AL</t>
        </is>
      </c>
      <c r="E451" t="inlineStr">
        <is>
          <t>Birmingham</t>
        </is>
      </c>
      <c r="F451" t="inlineStr">
        <is>
          <t>In-Store</t>
        </is>
      </c>
      <c r="G451" t="inlineStr">
        <is>
          <t>Corporate</t>
        </is>
      </c>
      <c r="H451" t="inlineStr">
        <is>
          <t>Office Supplies</t>
        </is>
      </c>
      <c r="I451" t="inlineStr">
        <is>
          <t>Stapler</t>
        </is>
      </c>
      <c r="J451" s="2" t="n">
        <v>1</v>
      </c>
      <c r="K451" s="3" t="n">
        <v>12.35</v>
      </c>
      <c r="L451" s="3" t="n">
        <v>12.35</v>
      </c>
      <c r="M451" s="3" t="n">
        <v>7.76</v>
      </c>
      <c r="N451" s="3" t="n">
        <v>4.59</v>
      </c>
    </row>
    <row r="452">
      <c r="A452" t="inlineStr">
        <is>
          <t>SO-2405-10450</t>
        </is>
      </c>
      <c r="B452" s="1" t="n">
        <v>45426</v>
      </c>
      <c r="C452" t="inlineStr">
        <is>
          <t>South</t>
        </is>
      </c>
      <c r="D452" t="inlineStr">
        <is>
          <t>GA</t>
        </is>
      </c>
      <c r="E452" t="inlineStr">
        <is>
          <t>Atlanta</t>
        </is>
      </c>
      <c r="F452" t="inlineStr">
        <is>
          <t>Partner</t>
        </is>
      </c>
      <c r="G452" t="inlineStr">
        <is>
          <t>Corporate</t>
        </is>
      </c>
      <c r="H452" t="inlineStr">
        <is>
          <t>Technology</t>
        </is>
      </c>
      <c r="I452" t="inlineStr">
        <is>
          <t>Keyboard</t>
        </is>
      </c>
      <c r="J452" s="2" t="n">
        <v>1</v>
      </c>
      <c r="K452" s="3" t="n">
        <v>37.18</v>
      </c>
      <c r="L452" s="3" t="n">
        <v>37.18</v>
      </c>
      <c r="M452" s="3" t="n">
        <v>22.66</v>
      </c>
      <c r="N452" s="3" t="n">
        <v>14.52</v>
      </c>
    </row>
    <row r="453">
      <c r="A453" t="inlineStr">
        <is>
          <t>SO-2512-10451</t>
        </is>
      </c>
      <c r="B453" s="1" t="n">
        <v>46001</v>
      </c>
      <c r="C453" t="inlineStr">
        <is>
          <t>Midwest</t>
        </is>
      </c>
      <c r="D453" t="inlineStr">
        <is>
          <t>MN</t>
        </is>
      </c>
      <c r="E453" t="inlineStr">
        <is>
          <t>Minneapolis</t>
        </is>
      </c>
      <c r="F453" t="inlineStr">
        <is>
          <t>In-Store</t>
        </is>
      </c>
      <c r="G453" t="inlineStr">
        <is>
          <t>Corporate</t>
        </is>
      </c>
      <c r="H453" t="inlineStr">
        <is>
          <t>Office Supplies</t>
        </is>
      </c>
      <c r="I453" t="inlineStr">
        <is>
          <t>Pens</t>
        </is>
      </c>
      <c r="J453" s="2" t="n">
        <v>2</v>
      </c>
      <c r="K453" s="3" t="n">
        <v>4.63</v>
      </c>
      <c r="L453" s="3" t="n">
        <v>9.26</v>
      </c>
      <c r="M453" s="3" t="n">
        <v>6.47</v>
      </c>
      <c r="N453" s="3" t="n">
        <v>2.79</v>
      </c>
    </row>
    <row r="454">
      <c r="A454" t="inlineStr">
        <is>
          <t>SO-2407-10452</t>
        </is>
      </c>
      <c r="B454" s="1" t="n">
        <v>45487</v>
      </c>
      <c r="C454" t="inlineStr">
        <is>
          <t>Midwest</t>
        </is>
      </c>
      <c r="D454" t="inlineStr">
        <is>
          <t>IL</t>
        </is>
      </c>
      <c r="E454" t="inlineStr">
        <is>
          <t>Chicago</t>
        </is>
      </c>
      <c r="F454" t="inlineStr">
        <is>
          <t>Partner</t>
        </is>
      </c>
      <c r="G454" t="inlineStr">
        <is>
          <t>Corporate</t>
        </is>
      </c>
      <c r="H454" t="inlineStr">
        <is>
          <t>Office Supplies</t>
        </is>
      </c>
      <c r="I454" t="inlineStr">
        <is>
          <t>Binders</t>
        </is>
      </c>
      <c r="J454" s="2" t="n">
        <v>2</v>
      </c>
      <c r="K454" s="3" t="n">
        <v>10.88</v>
      </c>
      <c r="L454" s="3" t="n">
        <v>21.76</v>
      </c>
      <c r="M454" s="3" t="n">
        <v>14.59</v>
      </c>
      <c r="N454" s="3" t="n">
        <v>7.17</v>
      </c>
    </row>
    <row r="455">
      <c r="A455" t="inlineStr">
        <is>
          <t>SO-2508-10453</t>
        </is>
      </c>
      <c r="B455" s="1" t="n">
        <v>45888</v>
      </c>
      <c r="C455" t="inlineStr">
        <is>
          <t>West</t>
        </is>
      </c>
      <c r="D455" t="inlineStr">
        <is>
          <t>WA</t>
        </is>
      </c>
      <c r="E455" t="inlineStr">
        <is>
          <t>Seattle</t>
        </is>
      </c>
      <c r="F455" t="inlineStr">
        <is>
          <t>Online</t>
        </is>
      </c>
      <c r="G455" t="inlineStr">
        <is>
          <t>Consumer</t>
        </is>
      </c>
      <c r="H455" t="inlineStr">
        <is>
          <t>Furniture</t>
        </is>
      </c>
      <c r="I455" t="inlineStr">
        <is>
          <t>Desk Chair</t>
        </is>
      </c>
      <c r="J455" s="2" t="n">
        <v>2</v>
      </c>
      <c r="K455" s="3" t="n">
        <v>142.66</v>
      </c>
      <c r="L455" s="3" t="n">
        <v>285.32</v>
      </c>
      <c r="M455" s="3" t="n">
        <v>166.12</v>
      </c>
      <c r="N455" s="3" t="n">
        <v>119.2</v>
      </c>
    </row>
    <row r="456">
      <c r="A456" t="inlineStr">
        <is>
          <t>SO-2401-10454</t>
        </is>
      </c>
      <c r="B456" s="1" t="n">
        <v>45316</v>
      </c>
      <c r="C456" t="inlineStr">
        <is>
          <t>West</t>
        </is>
      </c>
      <c r="D456" t="inlineStr">
        <is>
          <t>WA</t>
        </is>
      </c>
      <c r="E456" t="inlineStr">
        <is>
          <t>Seattle</t>
        </is>
      </c>
      <c r="F456" t="inlineStr">
        <is>
          <t>Online</t>
        </is>
      </c>
      <c r="G456" t="inlineStr">
        <is>
          <t>Small Business</t>
        </is>
      </c>
      <c r="H456" t="inlineStr">
        <is>
          <t>Technology</t>
        </is>
      </c>
      <c r="I456" t="inlineStr">
        <is>
          <t>Laptop Stand</t>
        </is>
      </c>
      <c r="J456" s="2" t="n">
        <v>6</v>
      </c>
      <c r="K456" s="3" t="n">
        <v>30.19</v>
      </c>
      <c r="L456" s="3" t="n">
        <v>181.14</v>
      </c>
      <c r="M456" s="3" t="n">
        <v>110.55</v>
      </c>
      <c r="N456" s="3" t="n">
        <v>70.59</v>
      </c>
    </row>
    <row r="457">
      <c r="A457" t="inlineStr">
        <is>
          <t>SO-2511-10455</t>
        </is>
      </c>
      <c r="B457" s="1" t="n">
        <v>45970</v>
      </c>
      <c r="C457" t="inlineStr">
        <is>
          <t>Midwest</t>
        </is>
      </c>
      <c r="D457" t="inlineStr">
        <is>
          <t>OH</t>
        </is>
      </c>
      <c r="E457" t="inlineStr">
        <is>
          <t>Columbus</t>
        </is>
      </c>
      <c r="F457" t="inlineStr">
        <is>
          <t>In-Store</t>
        </is>
      </c>
      <c r="G457" t="inlineStr">
        <is>
          <t>Consumer</t>
        </is>
      </c>
      <c r="H457" t="inlineStr">
        <is>
          <t>Furniture</t>
        </is>
      </c>
      <c r="I457" t="inlineStr">
        <is>
          <t>Filing Cabinet</t>
        </is>
      </c>
      <c r="J457" s="2" t="n">
        <v>4</v>
      </c>
      <c r="K457" s="3" t="n">
        <v>165.5</v>
      </c>
      <c r="L457" s="3" t="n">
        <v>662</v>
      </c>
      <c r="M457" s="3" t="n">
        <v>418.98</v>
      </c>
      <c r="N457" s="3" t="n">
        <v>243.02</v>
      </c>
    </row>
    <row r="458">
      <c r="A458" t="inlineStr">
        <is>
          <t>SO-2411-10456</t>
        </is>
      </c>
      <c r="B458" s="1" t="n">
        <v>45609</v>
      </c>
      <c r="C458" t="inlineStr">
        <is>
          <t>Northeast</t>
        </is>
      </c>
      <c r="D458" t="inlineStr">
        <is>
          <t>NY</t>
        </is>
      </c>
      <c r="E458" t="inlineStr">
        <is>
          <t>New York</t>
        </is>
      </c>
      <c r="F458" t="inlineStr">
        <is>
          <t>In-Store</t>
        </is>
      </c>
      <c r="G458" t="inlineStr">
        <is>
          <t>Corporate</t>
        </is>
      </c>
      <c r="H458" t="inlineStr">
        <is>
          <t>Office Supplies</t>
        </is>
      </c>
      <c r="I458" t="inlineStr">
        <is>
          <t>Stapler</t>
        </is>
      </c>
      <c r="J458" s="2" t="n">
        <v>1</v>
      </c>
      <c r="K458" s="3" t="n">
        <v>14.05</v>
      </c>
      <c r="L458" s="3" t="n">
        <v>14.05</v>
      </c>
      <c r="M458" s="3" t="n">
        <v>9.470000000000001</v>
      </c>
      <c r="N458" s="3" t="n">
        <v>4.58</v>
      </c>
    </row>
    <row r="459">
      <c r="A459" t="inlineStr">
        <is>
          <t>SO-2510-10457</t>
        </is>
      </c>
      <c r="B459" s="1" t="n">
        <v>45936</v>
      </c>
      <c r="C459" t="inlineStr">
        <is>
          <t>Midwest</t>
        </is>
      </c>
      <c r="D459" t="inlineStr">
        <is>
          <t>IL</t>
        </is>
      </c>
      <c r="E459" t="inlineStr">
        <is>
          <t>Chicago</t>
        </is>
      </c>
      <c r="F459" t="inlineStr">
        <is>
          <t>Online</t>
        </is>
      </c>
      <c r="G459" t="inlineStr">
        <is>
          <t>Corporate</t>
        </is>
      </c>
      <c r="H459" t="inlineStr">
        <is>
          <t>Furniture</t>
        </is>
      </c>
      <c r="I459" t="inlineStr">
        <is>
          <t>Bookshelf</t>
        </is>
      </c>
      <c r="J459" s="2" t="n">
        <v>2</v>
      </c>
      <c r="K459" s="3" t="n">
        <v>78.90000000000001</v>
      </c>
      <c r="L459" s="3" t="n">
        <v>157.8</v>
      </c>
      <c r="M459" s="3" t="n">
        <v>95.58</v>
      </c>
      <c r="N459" s="3" t="n">
        <v>62.22</v>
      </c>
    </row>
    <row r="460">
      <c r="A460" t="inlineStr">
        <is>
          <t>SO-2505-10458</t>
        </is>
      </c>
      <c r="B460" s="1" t="n">
        <v>45779</v>
      </c>
      <c r="C460" t="inlineStr">
        <is>
          <t>South</t>
        </is>
      </c>
      <c r="D460" t="inlineStr">
        <is>
          <t>AL</t>
        </is>
      </c>
      <c r="E460" t="inlineStr">
        <is>
          <t>Birmingham</t>
        </is>
      </c>
      <c r="F460" t="inlineStr">
        <is>
          <t>Partner</t>
        </is>
      </c>
      <c r="G460" t="inlineStr">
        <is>
          <t>Corporate</t>
        </is>
      </c>
      <c r="H460" t="inlineStr">
        <is>
          <t>Technology</t>
        </is>
      </c>
      <c r="I460" t="inlineStr">
        <is>
          <t>Mouse</t>
        </is>
      </c>
      <c r="J460" s="2" t="n">
        <v>6</v>
      </c>
      <c r="K460" s="3" t="n">
        <v>21.7</v>
      </c>
      <c r="L460" s="3" t="n">
        <v>130.2</v>
      </c>
      <c r="M460" s="3" t="n">
        <v>98.51000000000001</v>
      </c>
      <c r="N460" s="3" t="n">
        <v>31.69</v>
      </c>
    </row>
    <row r="461">
      <c r="A461" t="inlineStr">
        <is>
          <t>SO-2506-10459</t>
        </is>
      </c>
      <c r="B461" s="1" t="n">
        <v>45817</v>
      </c>
      <c r="C461" t="inlineStr">
        <is>
          <t>South</t>
        </is>
      </c>
      <c r="D461" t="inlineStr">
        <is>
          <t>GA</t>
        </is>
      </c>
      <c r="E461" t="inlineStr">
        <is>
          <t>Atlanta</t>
        </is>
      </c>
      <c r="F461" t="inlineStr">
        <is>
          <t>Online</t>
        </is>
      </c>
      <c r="G461" t="inlineStr">
        <is>
          <t>Corporate</t>
        </is>
      </c>
      <c r="H461" t="inlineStr">
        <is>
          <t>Furniture</t>
        </is>
      </c>
      <c r="I461" t="inlineStr">
        <is>
          <t>Desk Chair</t>
        </is>
      </c>
      <c r="J461" s="2" t="n">
        <v>4</v>
      </c>
      <c r="K461" s="3" t="n">
        <v>134.82</v>
      </c>
      <c r="L461" s="3" t="n">
        <v>539.28</v>
      </c>
      <c r="M461" s="3" t="n">
        <v>386.45</v>
      </c>
      <c r="N461" s="3" t="n">
        <v>152.83</v>
      </c>
    </row>
    <row r="462">
      <c r="A462" t="inlineStr">
        <is>
          <t>SO-2411-10460</t>
        </is>
      </c>
      <c r="B462" s="1" t="n">
        <v>45614</v>
      </c>
      <c r="C462" t="inlineStr">
        <is>
          <t>Midwest</t>
        </is>
      </c>
      <c r="D462" t="inlineStr">
        <is>
          <t>MN</t>
        </is>
      </c>
      <c r="E462" t="inlineStr">
        <is>
          <t>Minneapolis</t>
        </is>
      </c>
      <c r="F462" t="inlineStr">
        <is>
          <t>Partner</t>
        </is>
      </c>
      <c r="G462" t="inlineStr">
        <is>
          <t>Consumer</t>
        </is>
      </c>
      <c r="H462" t="inlineStr">
        <is>
          <t>Furniture</t>
        </is>
      </c>
      <c r="I462" t="inlineStr">
        <is>
          <t>Filing Cabinet</t>
        </is>
      </c>
      <c r="J462" s="2" t="n">
        <v>4</v>
      </c>
      <c r="K462" s="3" t="n">
        <v>172.96</v>
      </c>
      <c r="L462" s="3" t="n">
        <v>691.84</v>
      </c>
      <c r="M462" s="3" t="n">
        <v>510.36</v>
      </c>
      <c r="N462" s="3" t="n">
        <v>181.48</v>
      </c>
    </row>
    <row r="463">
      <c r="A463" t="inlineStr">
        <is>
          <t>SO-2403-10461</t>
        </is>
      </c>
      <c r="B463" s="1" t="n">
        <v>45356</v>
      </c>
      <c r="C463" t="inlineStr">
        <is>
          <t>South</t>
        </is>
      </c>
      <c r="D463" t="inlineStr">
        <is>
          <t>TN</t>
        </is>
      </c>
      <c r="E463" t="inlineStr">
        <is>
          <t>Nashville</t>
        </is>
      </c>
      <c r="F463" t="inlineStr">
        <is>
          <t>In-Store</t>
        </is>
      </c>
      <c r="G463" t="inlineStr">
        <is>
          <t>Small Business</t>
        </is>
      </c>
      <c r="H463" t="inlineStr">
        <is>
          <t>Office Supplies</t>
        </is>
      </c>
      <c r="I463" t="inlineStr">
        <is>
          <t>Binders</t>
        </is>
      </c>
      <c r="J463" s="2" t="n">
        <v>2</v>
      </c>
      <c r="K463" s="3" t="n">
        <v>8.890000000000001</v>
      </c>
      <c r="L463" s="3" t="n">
        <v>17.78</v>
      </c>
      <c r="M463" s="3" t="n">
        <v>12.07</v>
      </c>
      <c r="N463" s="3" t="n">
        <v>5.71</v>
      </c>
    </row>
    <row r="464">
      <c r="A464" t="inlineStr">
        <is>
          <t>SO-2405-10462</t>
        </is>
      </c>
      <c r="B464" s="1" t="n">
        <v>45440</v>
      </c>
      <c r="C464" t="inlineStr">
        <is>
          <t>South</t>
        </is>
      </c>
      <c r="D464" t="inlineStr">
        <is>
          <t>FL</t>
        </is>
      </c>
      <c r="E464" t="inlineStr">
        <is>
          <t>Miami</t>
        </is>
      </c>
      <c r="F464" t="inlineStr">
        <is>
          <t>In-Store</t>
        </is>
      </c>
      <c r="G464" t="inlineStr">
        <is>
          <t>Small Business</t>
        </is>
      </c>
      <c r="H464" t="inlineStr">
        <is>
          <t>Furniture</t>
        </is>
      </c>
      <c r="I464" t="inlineStr">
        <is>
          <t>Desk Chair</t>
        </is>
      </c>
      <c r="J464" s="2" t="n">
        <v>1</v>
      </c>
      <c r="K464" s="3" t="n">
        <v>143.73</v>
      </c>
      <c r="L464" s="3" t="n">
        <v>143.73</v>
      </c>
      <c r="M464" s="3" t="n">
        <v>96.06</v>
      </c>
      <c r="N464" s="3" t="n">
        <v>47.67</v>
      </c>
    </row>
    <row r="465">
      <c r="A465" t="inlineStr">
        <is>
          <t>SO-2411-10463</t>
        </is>
      </c>
      <c r="B465" s="1" t="n">
        <v>45615</v>
      </c>
      <c r="C465" t="inlineStr">
        <is>
          <t>South</t>
        </is>
      </c>
      <c r="D465" t="inlineStr">
        <is>
          <t>GA</t>
        </is>
      </c>
      <c r="E465" t="inlineStr">
        <is>
          <t>Atlanta</t>
        </is>
      </c>
      <c r="F465" t="inlineStr">
        <is>
          <t>Online</t>
        </is>
      </c>
      <c r="G465" t="inlineStr">
        <is>
          <t>Small Business</t>
        </is>
      </c>
      <c r="H465" t="inlineStr">
        <is>
          <t>Office Supplies</t>
        </is>
      </c>
      <c r="I465" t="inlineStr">
        <is>
          <t>Binders</t>
        </is>
      </c>
      <c r="J465" s="2" t="n">
        <v>2</v>
      </c>
      <c r="K465" s="3" t="n">
        <v>11.22</v>
      </c>
      <c r="L465" s="3" t="n">
        <v>22.44</v>
      </c>
      <c r="M465" s="3" t="n">
        <v>14.6</v>
      </c>
      <c r="N465" s="3" t="n">
        <v>7.84</v>
      </c>
    </row>
    <row r="466">
      <c r="A466" t="inlineStr">
        <is>
          <t>SO-2409-10464</t>
        </is>
      </c>
      <c r="B466" s="1" t="n">
        <v>45540</v>
      </c>
      <c r="C466" t="inlineStr">
        <is>
          <t>West</t>
        </is>
      </c>
      <c r="D466" t="inlineStr">
        <is>
          <t>WA</t>
        </is>
      </c>
      <c r="E466" t="inlineStr">
        <is>
          <t>Seattle</t>
        </is>
      </c>
      <c r="F466" t="inlineStr">
        <is>
          <t>In-Store</t>
        </is>
      </c>
      <c r="G466" t="inlineStr">
        <is>
          <t>Small Business</t>
        </is>
      </c>
      <c r="H466" t="inlineStr">
        <is>
          <t>Office Supplies</t>
        </is>
      </c>
      <c r="I466" t="inlineStr">
        <is>
          <t>Pens</t>
        </is>
      </c>
      <c r="J466" s="2" t="n">
        <v>7</v>
      </c>
      <c r="K466" s="3" t="n">
        <v>4.34</v>
      </c>
      <c r="L466" s="3" t="n">
        <v>30.38</v>
      </c>
      <c r="M466" s="3" t="n">
        <v>20.39</v>
      </c>
      <c r="N466" s="3" t="n">
        <v>9.99</v>
      </c>
    </row>
    <row r="467">
      <c r="A467" t="inlineStr">
        <is>
          <t>SO-2504-10465</t>
        </is>
      </c>
      <c r="B467" s="1" t="n">
        <v>45768</v>
      </c>
      <c r="C467" t="inlineStr">
        <is>
          <t>South</t>
        </is>
      </c>
      <c r="D467" t="inlineStr">
        <is>
          <t>GA</t>
        </is>
      </c>
      <c r="E467" t="inlineStr">
        <is>
          <t>Atlanta</t>
        </is>
      </c>
      <c r="F467" t="inlineStr">
        <is>
          <t>In-Store</t>
        </is>
      </c>
      <c r="G467" t="inlineStr">
        <is>
          <t>Small Business</t>
        </is>
      </c>
      <c r="H467" t="inlineStr">
        <is>
          <t>Technology</t>
        </is>
      </c>
      <c r="I467" t="inlineStr">
        <is>
          <t>Laptop Stand</t>
        </is>
      </c>
      <c r="J467" s="2" t="n">
        <v>4</v>
      </c>
      <c r="K467" s="3" t="n">
        <v>29.75</v>
      </c>
      <c r="L467" s="3" t="n">
        <v>119</v>
      </c>
      <c r="M467" s="3" t="n">
        <v>84.34</v>
      </c>
      <c r="N467" s="3" t="n">
        <v>34.66</v>
      </c>
    </row>
    <row r="468">
      <c r="A468" t="inlineStr">
        <is>
          <t>SO-2409-10466</t>
        </is>
      </c>
      <c r="B468" s="1" t="n">
        <v>45545</v>
      </c>
      <c r="C468" t="inlineStr">
        <is>
          <t>Northeast</t>
        </is>
      </c>
      <c r="D468" t="inlineStr">
        <is>
          <t>MA</t>
        </is>
      </c>
      <c r="E468" t="inlineStr">
        <is>
          <t>Boston</t>
        </is>
      </c>
      <c r="F468" t="inlineStr">
        <is>
          <t>Online</t>
        </is>
      </c>
      <c r="G468" t="inlineStr">
        <is>
          <t>Corporate</t>
        </is>
      </c>
      <c r="H468" t="inlineStr">
        <is>
          <t>Furniture</t>
        </is>
      </c>
      <c r="I468" t="inlineStr">
        <is>
          <t>Standing Desk</t>
        </is>
      </c>
      <c r="J468" s="2" t="n">
        <v>2</v>
      </c>
      <c r="K468" s="3" t="n">
        <v>337.38</v>
      </c>
      <c r="L468" s="3" t="n">
        <v>674.76</v>
      </c>
      <c r="M468" s="3" t="n">
        <v>450.21</v>
      </c>
      <c r="N468" s="3" t="n">
        <v>224.55</v>
      </c>
    </row>
    <row r="469">
      <c r="A469" t="inlineStr">
        <is>
          <t>SO-2511-10467</t>
        </is>
      </c>
      <c r="B469" s="1" t="n">
        <v>45967</v>
      </c>
      <c r="C469" t="inlineStr">
        <is>
          <t>West</t>
        </is>
      </c>
      <c r="D469" t="inlineStr">
        <is>
          <t>WA</t>
        </is>
      </c>
      <c r="E469" t="inlineStr">
        <is>
          <t>Seattle</t>
        </is>
      </c>
      <c r="F469" t="inlineStr">
        <is>
          <t>In-Store</t>
        </is>
      </c>
      <c r="G469" t="inlineStr">
        <is>
          <t>Consumer</t>
        </is>
      </c>
      <c r="H469" t="inlineStr">
        <is>
          <t>Furniture</t>
        </is>
      </c>
      <c r="I469" t="inlineStr">
        <is>
          <t>Bookshelf</t>
        </is>
      </c>
      <c r="J469" s="2" t="n">
        <v>6</v>
      </c>
      <c r="K469" s="3" t="n">
        <v>84.95</v>
      </c>
      <c r="L469" s="3" t="n">
        <v>509.7</v>
      </c>
      <c r="M469" s="3" t="n">
        <v>354.77</v>
      </c>
      <c r="N469" s="3" t="n">
        <v>154.93</v>
      </c>
    </row>
    <row r="470">
      <c r="A470" t="inlineStr">
        <is>
          <t>SO-2411-10468</t>
        </is>
      </c>
      <c r="B470" s="1" t="n">
        <v>45626</v>
      </c>
      <c r="C470" t="inlineStr">
        <is>
          <t>South</t>
        </is>
      </c>
      <c r="D470" t="inlineStr">
        <is>
          <t>AL</t>
        </is>
      </c>
      <c r="E470" t="inlineStr">
        <is>
          <t>Birmingham</t>
        </is>
      </c>
      <c r="F470" t="inlineStr">
        <is>
          <t>Online</t>
        </is>
      </c>
      <c r="G470" t="inlineStr">
        <is>
          <t>Corporate</t>
        </is>
      </c>
      <c r="H470" t="inlineStr">
        <is>
          <t>Furniture</t>
        </is>
      </c>
      <c r="I470" t="inlineStr">
        <is>
          <t>Bookshelf</t>
        </is>
      </c>
      <c r="J470" s="2" t="n">
        <v>7</v>
      </c>
      <c r="K470" s="3" t="n">
        <v>76.77</v>
      </c>
      <c r="L470" s="3" t="n">
        <v>537.39</v>
      </c>
      <c r="M470" s="3" t="n">
        <v>393.85</v>
      </c>
      <c r="N470" s="3" t="n">
        <v>143.54</v>
      </c>
    </row>
    <row r="471">
      <c r="A471" t="inlineStr">
        <is>
          <t>SO-2401-10469</t>
        </is>
      </c>
      <c r="B471" s="1" t="n">
        <v>45304</v>
      </c>
      <c r="C471" t="inlineStr">
        <is>
          <t>Midwest</t>
        </is>
      </c>
      <c r="D471" t="inlineStr">
        <is>
          <t>MI</t>
        </is>
      </c>
      <c r="E471" t="inlineStr">
        <is>
          <t>Detroit</t>
        </is>
      </c>
      <c r="F471" t="inlineStr">
        <is>
          <t>Partner</t>
        </is>
      </c>
      <c r="G471" t="inlineStr">
        <is>
          <t>Corporate</t>
        </is>
      </c>
      <c r="H471" t="inlineStr">
        <is>
          <t>Technology</t>
        </is>
      </c>
      <c r="I471" t="inlineStr">
        <is>
          <t>Monitor</t>
        </is>
      </c>
      <c r="J471" s="2" t="n">
        <v>6</v>
      </c>
      <c r="K471" s="3" t="n">
        <v>186.35</v>
      </c>
      <c r="L471" s="3" t="n">
        <v>1118.1</v>
      </c>
      <c r="M471" s="3" t="n">
        <v>728.01</v>
      </c>
      <c r="N471" s="3" t="n">
        <v>390.09</v>
      </c>
    </row>
    <row r="472">
      <c r="A472" t="inlineStr">
        <is>
          <t>SO-2501-10470</t>
        </is>
      </c>
      <c r="B472" s="1" t="n">
        <v>45681</v>
      </c>
      <c r="C472" t="inlineStr">
        <is>
          <t>Northeast</t>
        </is>
      </c>
      <c r="D472" t="inlineStr">
        <is>
          <t>NY</t>
        </is>
      </c>
      <c r="E472" t="inlineStr">
        <is>
          <t>New York</t>
        </is>
      </c>
      <c r="F472" t="inlineStr">
        <is>
          <t>In-Store</t>
        </is>
      </c>
      <c r="G472" t="inlineStr">
        <is>
          <t>Corporate</t>
        </is>
      </c>
      <c r="H472" t="inlineStr">
        <is>
          <t>Furniture</t>
        </is>
      </c>
      <c r="I472" t="inlineStr">
        <is>
          <t>Standing Desk</t>
        </is>
      </c>
      <c r="J472" s="2" t="n">
        <v>2</v>
      </c>
      <c r="K472" s="3" t="n">
        <v>322.92</v>
      </c>
      <c r="L472" s="3" t="n">
        <v>645.84</v>
      </c>
      <c r="M472" s="3" t="n">
        <v>446.6</v>
      </c>
      <c r="N472" s="3" t="n">
        <v>199.24</v>
      </c>
    </row>
    <row r="473">
      <c r="A473" t="inlineStr">
        <is>
          <t>SO-2411-10471</t>
        </is>
      </c>
      <c r="B473" s="1" t="n">
        <v>45619</v>
      </c>
      <c r="C473" t="inlineStr">
        <is>
          <t>Northeast</t>
        </is>
      </c>
      <c r="D473" t="inlineStr">
        <is>
          <t>MA</t>
        </is>
      </c>
      <c r="E473" t="inlineStr">
        <is>
          <t>Boston</t>
        </is>
      </c>
      <c r="F473" t="inlineStr">
        <is>
          <t>Online</t>
        </is>
      </c>
      <c r="G473" t="inlineStr">
        <is>
          <t>Small Business</t>
        </is>
      </c>
      <c r="H473" t="inlineStr">
        <is>
          <t>Furniture</t>
        </is>
      </c>
      <c r="I473" t="inlineStr">
        <is>
          <t>Bookshelf</t>
        </is>
      </c>
      <c r="J473" s="2" t="n">
        <v>2</v>
      </c>
      <c r="K473" s="3" t="n">
        <v>94.59999999999999</v>
      </c>
      <c r="L473" s="3" t="n">
        <v>189.2</v>
      </c>
      <c r="M473" s="3" t="n">
        <v>115.29</v>
      </c>
      <c r="N473" s="3" t="n">
        <v>73.91</v>
      </c>
    </row>
    <row r="474">
      <c r="A474" t="inlineStr">
        <is>
          <t>SO-2412-10472</t>
        </is>
      </c>
      <c r="B474" s="1" t="n">
        <v>45640</v>
      </c>
      <c r="C474" t="inlineStr">
        <is>
          <t>South</t>
        </is>
      </c>
      <c r="D474" t="inlineStr">
        <is>
          <t>TN</t>
        </is>
      </c>
      <c r="E474" t="inlineStr">
        <is>
          <t>Nashville</t>
        </is>
      </c>
      <c r="F474" t="inlineStr">
        <is>
          <t>In-Store</t>
        </is>
      </c>
      <c r="G474" t="inlineStr">
        <is>
          <t>Consumer</t>
        </is>
      </c>
      <c r="H474" t="inlineStr">
        <is>
          <t>Technology</t>
        </is>
      </c>
      <c r="I474" t="inlineStr">
        <is>
          <t>Laptop Stand</t>
        </is>
      </c>
      <c r="J474" s="2" t="n">
        <v>6</v>
      </c>
      <c r="K474" s="3" t="n">
        <v>32.54</v>
      </c>
      <c r="L474" s="3" t="n">
        <v>195.24</v>
      </c>
      <c r="M474" s="3" t="n">
        <v>147.71</v>
      </c>
      <c r="N474" s="3" t="n">
        <v>47.53</v>
      </c>
    </row>
    <row r="475">
      <c r="A475" t="inlineStr">
        <is>
          <t>SO-2509-10473</t>
        </is>
      </c>
      <c r="B475" s="1" t="n">
        <v>45921</v>
      </c>
      <c r="C475" t="inlineStr">
        <is>
          <t>South</t>
        </is>
      </c>
      <c r="D475" t="inlineStr">
        <is>
          <t>GA</t>
        </is>
      </c>
      <c r="E475" t="inlineStr">
        <is>
          <t>Atlanta</t>
        </is>
      </c>
      <c r="F475" t="inlineStr">
        <is>
          <t>Online</t>
        </is>
      </c>
      <c r="G475" t="inlineStr">
        <is>
          <t>Corporate</t>
        </is>
      </c>
      <c r="H475" t="inlineStr">
        <is>
          <t>Office Supplies</t>
        </is>
      </c>
      <c r="I475" t="inlineStr">
        <is>
          <t>Binders</t>
        </is>
      </c>
      <c r="J475" s="2" t="n">
        <v>1</v>
      </c>
      <c r="K475" s="3" t="n">
        <v>11.15</v>
      </c>
      <c r="L475" s="3" t="n">
        <v>11.15</v>
      </c>
      <c r="M475" s="3" t="n">
        <v>7.64</v>
      </c>
      <c r="N475" s="3" t="n">
        <v>3.51</v>
      </c>
    </row>
    <row r="476">
      <c r="A476" t="inlineStr">
        <is>
          <t>SO-2508-10474</t>
        </is>
      </c>
      <c r="B476" s="1" t="n">
        <v>45882</v>
      </c>
      <c r="C476" t="inlineStr">
        <is>
          <t>South</t>
        </is>
      </c>
      <c r="D476" t="inlineStr">
        <is>
          <t>AL</t>
        </is>
      </c>
      <c r="E476" t="inlineStr">
        <is>
          <t>Birmingham</t>
        </is>
      </c>
      <c r="F476" t="inlineStr">
        <is>
          <t>In-Store</t>
        </is>
      </c>
      <c r="G476" t="inlineStr">
        <is>
          <t>Corporate</t>
        </is>
      </c>
      <c r="H476" t="inlineStr">
        <is>
          <t>Technology</t>
        </is>
      </c>
      <c r="I476" t="inlineStr">
        <is>
          <t>Laptop Stand</t>
        </is>
      </c>
      <c r="J476" s="2" t="n">
        <v>5</v>
      </c>
      <c r="K476" s="3" t="n">
        <v>28.29</v>
      </c>
      <c r="L476" s="3" t="n">
        <v>141.45</v>
      </c>
      <c r="M476" s="3" t="n">
        <v>94.5</v>
      </c>
      <c r="N476" s="3" t="n">
        <v>46.95</v>
      </c>
    </row>
    <row r="477">
      <c r="A477" t="inlineStr">
        <is>
          <t>SO-2506-10475</t>
        </is>
      </c>
      <c r="B477" s="1" t="n">
        <v>45822</v>
      </c>
      <c r="C477" t="inlineStr">
        <is>
          <t>Midwest</t>
        </is>
      </c>
      <c r="D477" t="inlineStr">
        <is>
          <t>MI</t>
        </is>
      </c>
      <c r="E477" t="inlineStr">
        <is>
          <t>Detroit</t>
        </is>
      </c>
      <c r="F477" t="inlineStr">
        <is>
          <t>Online</t>
        </is>
      </c>
      <c r="G477" t="inlineStr">
        <is>
          <t>Corporate</t>
        </is>
      </c>
      <c r="H477" t="inlineStr">
        <is>
          <t>Furniture</t>
        </is>
      </c>
      <c r="I477" t="inlineStr">
        <is>
          <t>Bookshelf</t>
        </is>
      </c>
      <c r="J477" s="2" t="n">
        <v>2</v>
      </c>
      <c r="K477" s="3" t="n">
        <v>91.97</v>
      </c>
      <c r="L477" s="3" t="n">
        <v>183.94</v>
      </c>
      <c r="M477" s="3" t="n">
        <v>132.61</v>
      </c>
      <c r="N477" s="3" t="n">
        <v>51.33</v>
      </c>
    </row>
    <row r="478">
      <c r="A478" t="inlineStr">
        <is>
          <t>SO-2512-10476</t>
        </is>
      </c>
      <c r="B478" s="1" t="n">
        <v>46004</v>
      </c>
      <c r="C478" t="inlineStr">
        <is>
          <t>West</t>
        </is>
      </c>
      <c r="D478" t="inlineStr">
        <is>
          <t>CO</t>
        </is>
      </c>
      <c r="E478" t="inlineStr">
        <is>
          <t>Denver</t>
        </is>
      </c>
      <c r="F478" t="inlineStr">
        <is>
          <t>Online</t>
        </is>
      </c>
      <c r="G478" t="inlineStr">
        <is>
          <t>Small Business</t>
        </is>
      </c>
      <c r="H478" t="inlineStr">
        <is>
          <t>Office Supplies</t>
        </is>
      </c>
      <c r="I478" t="inlineStr">
        <is>
          <t>Pens</t>
        </is>
      </c>
      <c r="J478" s="2" t="n">
        <v>2</v>
      </c>
      <c r="K478" s="3" t="n">
        <v>4.1</v>
      </c>
      <c r="L478" s="3" t="n">
        <v>8.199999999999999</v>
      </c>
      <c r="M478" s="3" t="n">
        <v>4.96</v>
      </c>
      <c r="N478" s="3" t="n">
        <v>3.24</v>
      </c>
    </row>
    <row r="479">
      <c r="A479" t="inlineStr">
        <is>
          <t>SO-2410-10477</t>
        </is>
      </c>
      <c r="B479" s="1" t="n">
        <v>45589</v>
      </c>
      <c r="C479" t="inlineStr">
        <is>
          <t>South</t>
        </is>
      </c>
      <c r="D479" t="inlineStr">
        <is>
          <t>TN</t>
        </is>
      </c>
      <c r="E479" t="inlineStr">
        <is>
          <t>Nashville</t>
        </is>
      </c>
      <c r="F479" t="inlineStr">
        <is>
          <t>Partner</t>
        </is>
      </c>
      <c r="G479" t="inlineStr">
        <is>
          <t>Small Business</t>
        </is>
      </c>
      <c r="H479" t="inlineStr">
        <is>
          <t>Furniture</t>
        </is>
      </c>
      <c r="I479" t="inlineStr">
        <is>
          <t>Filing Cabinet</t>
        </is>
      </c>
      <c r="J479" s="2" t="n">
        <v>4</v>
      </c>
      <c r="K479" s="3" t="n">
        <v>137.13</v>
      </c>
      <c r="L479" s="3" t="n">
        <v>548.52</v>
      </c>
      <c r="M479" s="3" t="n">
        <v>335.28</v>
      </c>
      <c r="N479" s="3" t="n">
        <v>213.24</v>
      </c>
    </row>
    <row r="480">
      <c r="A480" t="inlineStr">
        <is>
          <t>SO-2501-10478</t>
        </is>
      </c>
      <c r="B480" s="1" t="n">
        <v>45681</v>
      </c>
      <c r="C480" t="inlineStr">
        <is>
          <t>Midwest</t>
        </is>
      </c>
      <c r="D480" t="inlineStr">
        <is>
          <t>IL</t>
        </is>
      </c>
      <c r="E480" t="inlineStr">
        <is>
          <t>Chicago</t>
        </is>
      </c>
      <c r="F480" t="inlineStr">
        <is>
          <t>Partner</t>
        </is>
      </c>
      <c r="G480" t="inlineStr">
        <is>
          <t>Small Business</t>
        </is>
      </c>
      <c r="H480" t="inlineStr">
        <is>
          <t>Office Supplies</t>
        </is>
      </c>
      <c r="I480" t="inlineStr">
        <is>
          <t>Paper</t>
        </is>
      </c>
      <c r="J480" s="2" t="n">
        <v>6</v>
      </c>
      <c r="K480" s="3" t="n">
        <v>6.4</v>
      </c>
      <c r="L480" s="3" t="n">
        <v>38.4</v>
      </c>
      <c r="M480" s="3" t="n">
        <v>26.21</v>
      </c>
      <c r="N480" s="3" t="n">
        <v>12.19</v>
      </c>
    </row>
    <row r="481">
      <c r="A481" t="inlineStr">
        <is>
          <t>SO-2507-10479</t>
        </is>
      </c>
      <c r="B481" s="1" t="n">
        <v>45851</v>
      </c>
      <c r="C481" t="inlineStr">
        <is>
          <t>South</t>
        </is>
      </c>
      <c r="D481" t="inlineStr">
        <is>
          <t>TN</t>
        </is>
      </c>
      <c r="E481" t="inlineStr">
        <is>
          <t>Nashville</t>
        </is>
      </c>
      <c r="F481" t="inlineStr">
        <is>
          <t>Partner</t>
        </is>
      </c>
      <c r="G481" t="inlineStr">
        <is>
          <t>Consumer</t>
        </is>
      </c>
      <c r="H481" t="inlineStr">
        <is>
          <t>Office Supplies</t>
        </is>
      </c>
      <c r="I481" t="inlineStr">
        <is>
          <t>Binders</t>
        </is>
      </c>
      <c r="J481" s="2" t="n">
        <v>3</v>
      </c>
      <c r="K481" s="3" t="n">
        <v>9.4</v>
      </c>
      <c r="L481" s="3" t="n">
        <v>28.2</v>
      </c>
      <c r="M481" s="3" t="n">
        <v>16.9</v>
      </c>
      <c r="N481" s="3" t="n">
        <v>11.3</v>
      </c>
    </row>
    <row r="482">
      <c r="A482" t="inlineStr">
        <is>
          <t>SO-2508-10480</t>
        </is>
      </c>
      <c r="B482" s="1" t="n">
        <v>45874</v>
      </c>
      <c r="C482" t="inlineStr">
        <is>
          <t>Northeast</t>
        </is>
      </c>
      <c r="D482" t="inlineStr">
        <is>
          <t>NJ</t>
        </is>
      </c>
      <c r="E482" t="inlineStr">
        <is>
          <t>Newark</t>
        </is>
      </c>
      <c r="F482" t="inlineStr">
        <is>
          <t>In-Store</t>
        </is>
      </c>
      <c r="G482" t="inlineStr">
        <is>
          <t>Consumer</t>
        </is>
      </c>
      <c r="H482" t="inlineStr">
        <is>
          <t>Furniture</t>
        </is>
      </c>
      <c r="I482" t="inlineStr">
        <is>
          <t>Standing Desk</t>
        </is>
      </c>
      <c r="J482" s="2" t="n">
        <v>2</v>
      </c>
      <c r="K482" s="3" t="n">
        <v>271.49</v>
      </c>
      <c r="L482" s="3" t="n">
        <v>542.98</v>
      </c>
      <c r="M482" s="3" t="n">
        <v>385.04</v>
      </c>
      <c r="N482" s="3" t="n">
        <v>157.94</v>
      </c>
    </row>
    <row r="483">
      <c r="A483" t="inlineStr">
        <is>
          <t>SO-2408-10481</t>
        </is>
      </c>
      <c r="B483" s="1" t="n">
        <v>45512</v>
      </c>
      <c r="C483" t="inlineStr">
        <is>
          <t>South</t>
        </is>
      </c>
      <c r="D483" t="inlineStr">
        <is>
          <t>AL</t>
        </is>
      </c>
      <c r="E483" t="inlineStr">
        <is>
          <t>Birmingham</t>
        </is>
      </c>
      <c r="F483" t="inlineStr">
        <is>
          <t>Partner</t>
        </is>
      </c>
      <c r="G483" t="inlineStr">
        <is>
          <t>Corporate</t>
        </is>
      </c>
      <c r="H483" t="inlineStr">
        <is>
          <t>Furniture</t>
        </is>
      </c>
      <c r="I483" t="inlineStr">
        <is>
          <t>Desk Chair</t>
        </is>
      </c>
      <c r="J483" s="2" t="n">
        <v>5</v>
      </c>
      <c r="K483" s="3" t="n">
        <v>145.64</v>
      </c>
      <c r="L483" s="3" t="n">
        <v>728.2</v>
      </c>
      <c r="M483" s="3" t="n">
        <v>510.56</v>
      </c>
      <c r="N483" s="3" t="n">
        <v>217.64</v>
      </c>
    </row>
    <row r="484">
      <c r="A484" t="inlineStr">
        <is>
          <t>SO-2409-10482</t>
        </is>
      </c>
      <c r="B484" s="1" t="n">
        <v>45557</v>
      </c>
      <c r="C484" t="inlineStr">
        <is>
          <t>Northeast</t>
        </is>
      </c>
      <c r="D484" t="inlineStr">
        <is>
          <t>MA</t>
        </is>
      </c>
      <c r="E484" t="inlineStr">
        <is>
          <t>Boston</t>
        </is>
      </c>
      <c r="F484" t="inlineStr">
        <is>
          <t>Partner</t>
        </is>
      </c>
      <c r="G484" t="inlineStr">
        <is>
          <t>Corporate</t>
        </is>
      </c>
      <c r="H484" t="inlineStr">
        <is>
          <t>Office Supplies</t>
        </is>
      </c>
      <c r="I484" t="inlineStr">
        <is>
          <t>Pens</t>
        </is>
      </c>
      <c r="J484" s="2" t="n">
        <v>3</v>
      </c>
      <c r="K484" s="3" t="n">
        <v>4.67</v>
      </c>
      <c r="L484" s="3" t="n">
        <v>14.01</v>
      </c>
      <c r="M484" s="3" t="n">
        <v>9.390000000000001</v>
      </c>
      <c r="N484" s="3" t="n">
        <v>4.62</v>
      </c>
    </row>
    <row r="485">
      <c r="A485" t="inlineStr">
        <is>
          <t>SO-2406-10483</t>
        </is>
      </c>
      <c r="B485" s="1" t="n">
        <v>45461</v>
      </c>
      <c r="C485" t="inlineStr">
        <is>
          <t>Northeast</t>
        </is>
      </c>
      <c r="D485" t="inlineStr">
        <is>
          <t>NJ</t>
        </is>
      </c>
      <c r="E485" t="inlineStr">
        <is>
          <t>Newark</t>
        </is>
      </c>
      <c r="F485" t="inlineStr">
        <is>
          <t>Partner</t>
        </is>
      </c>
      <c r="G485" t="inlineStr">
        <is>
          <t>Consumer</t>
        </is>
      </c>
      <c r="H485" t="inlineStr">
        <is>
          <t>Office Supplies</t>
        </is>
      </c>
      <c r="I485" t="inlineStr">
        <is>
          <t>Stapler</t>
        </is>
      </c>
      <c r="J485" s="2" t="n">
        <v>7</v>
      </c>
      <c r="K485" s="3" t="n">
        <v>11.25</v>
      </c>
      <c r="L485" s="3" t="n">
        <v>78.75</v>
      </c>
      <c r="M485" s="3" t="n">
        <v>52.45</v>
      </c>
      <c r="N485" s="3" t="n">
        <v>26.3</v>
      </c>
    </row>
    <row r="486">
      <c r="A486" t="inlineStr">
        <is>
          <t>SO-2404-10484</t>
        </is>
      </c>
      <c r="B486" s="1" t="n">
        <v>45404</v>
      </c>
      <c r="C486" t="inlineStr">
        <is>
          <t>Midwest</t>
        </is>
      </c>
      <c r="D486" t="inlineStr">
        <is>
          <t>OH</t>
        </is>
      </c>
      <c r="E486" t="inlineStr">
        <is>
          <t>Columbus</t>
        </is>
      </c>
      <c r="F486" t="inlineStr">
        <is>
          <t>Partner</t>
        </is>
      </c>
      <c r="G486" t="inlineStr">
        <is>
          <t>Corporate</t>
        </is>
      </c>
      <c r="H486" t="inlineStr">
        <is>
          <t>Furniture</t>
        </is>
      </c>
      <c r="I486" t="inlineStr">
        <is>
          <t>Standing Desk</t>
        </is>
      </c>
      <c r="J486" s="2" t="n">
        <v>3</v>
      </c>
      <c r="K486" s="3" t="n">
        <v>275.88</v>
      </c>
      <c r="L486" s="3" t="n">
        <v>827.64</v>
      </c>
      <c r="M486" s="3" t="n">
        <v>617.36</v>
      </c>
      <c r="N486" s="3" t="n">
        <v>210.28</v>
      </c>
    </row>
    <row r="487">
      <c r="A487" t="inlineStr">
        <is>
          <t>SO-2507-10485</t>
        </is>
      </c>
      <c r="B487" s="1" t="n">
        <v>45864</v>
      </c>
      <c r="C487" t="inlineStr">
        <is>
          <t>Northeast</t>
        </is>
      </c>
      <c r="D487" t="inlineStr">
        <is>
          <t>PA</t>
        </is>
      </c>
      <c r="E487" t="inlineStr">
        <is>
          <t>Philadelphia</t>
        </is>
      </c>
      <c r="F487" t="inlineStr">
        <is>
          <t>Partner</t>
        </is>
      </c>
      <c r="G487" t="inlineStr">
        <is>
          <t>Corporate</t>
        </is>
      </c>
      <c r="H487" t="inlineStr">
        <is>
          <t>Technology</t>
        </is>
      </c>
      <c r="I487" t="inlineStr">
        <is>
          <t>Mouse</t>
        </is>
      </c>
      <c r="J487" s="2" t="n">
        <v>3</v>
      </c>
      <c r="K487" s="3" t="n">
        <v>19.92</v>
      </c>
      <c r="L487" s="3" t="n">
        <v>59.76</v>
      </c>
      <c r="M487" s="3" t="n">
        <v>45.21</v>
      </c>
      <c r="N487" s="3" t="n">
        <v>14.55</v>
      </c>
    </row>
    <row r="488">
      <c r="A488" t="inlineStr">
        <is>
          <t>SO-2409-10486</t>
        </is>
      </c>
      <c r="B488" s="1" t="n">
        <v>45543</v>
      </c>
      <c r="C488" t="inlineStr">
        <is>
          <t>Northeast</t>
        </is>
      </c>
      <c r="D488" t="inlineStr">
        <is>
          <t>PA</t>
        </is>
      </c>
      <c r="E488" t="inlineStr">
        <is>
          <t>Philadelphia</t>
        </is>
      </c>
      <c r="F488" t="inlineStr">
        <is>
          <t>Online</t>
        </is>
      </c>
      <c r="G488" t="inlineStr">
        <is>
          <t>Consumer</t>
        </is>
      </c>
      <c r="H488" t="inlineStr">
        <is>
          <t>Technology</t>
        </is>
      </c>
      <c r="I488" t="inlineStr">
        <is>
          <t>Keyboard</t>
        </is>
      </c>
      <c r="J488" s="2" t="n">
        <v>2</v>
      </c>
      <c r="K488" s="3" t="n">
        <v>41.65</v>
      </c>
      <c r="L488" s="3" t="n">
        <v>83.3</v>
      </c>
      <c r="M488" s="3" t="n">
        <v>55.02</v>
      </c>
      <c r="N488" s="3" t="n">
        <v>28.28</v>
      </c>
    </row>
    <row r="489">
      <c r="A489" t="inlineStr">
        <is>
          <t>SO-2407-10487</t>
        </is>
      </c>
      <c r="B489" s="1" t="n">
        <v>45489</v>
      </c>
      <c r="C489" t="inlineStr">
        <is>
          <t>Northeast</t>
        </is>
      </c>
      <c r="D489" t="inlineStr">
        <is>
          <t>NJ</t>
        </is>
      </c>
      <c r="E489" t="inlineStr">
        <is>
          <t>Newark</t>
        </is>
      </c>
      <c r="F489" t="inlineStr">
        <is>
          <t>Partner</t>
        </is>
      </c>
      <c r="G489" t="inlineStr">
        <is>
          <t>Corporate</t>
        </is>
      </c>
      <c r="H489" t="inlineStr">
        <is>
          <t>Technology</t>
        </is>
      </c>
      <c r="I489" t="inlineStr">
        <is>
          <t>Laptop Stand</t>
        </is>
      </c>
      <c r="J489" s="2" t="n">
        <v>2</v>
      </c>
      <c r="K489" s="3" t="n">
        <v>28.22</v>
      </c>
      <c r="L489" s="3" t="n">
        <v>56.44</v>
      </c>
      <c r="M489" s="3" t="n">
        <v>36.08</v>
      </c>
      <c r="N489" s="3" t="n">
        <v>20.36</v>
      </c>
    </row>
    <row r="490">
      <c r="A490" t="inlineStr">
        <is>
          <t>SO-2410-10488</t>
        </is>
      </c>
      <c r="B490" s="1" t="n">
        <v>45575</v>
      </c>
      <c r="C490" t="inlineStr">
        <is>
          <t>South</t>
        </is>
      </c>
      <c r="D490" t="inlineStr">
        <is>
          <t>FL</t>
        </is>
      </c>
      <c r="E490" t="inlineStr">
        <is>
          <t>Miami</t>
        </is>
      </c>
      <c r="F490" t="inlineStr">
        <is>
          <t>In-Store</t>
        </is>
      </c>
      <c r="G490" t="inlineStr">
        <is>
          <t>Small Business</t>
        </is>
      </c>
      <c r="H490" t="inlineStr">
        <is>
          <t>Office Supplies</t>
        </is>
      </c>
      <c r="I490" t="inlineStr">
        <is>
          <t>Stapler</t>
        </is>
      </c>
      <c r="J490" s="2" t="n">
        <v>3</v>
      </c>
      <c r="K490" s="3" t="n">
        <v>12.91</v>
      </c>
      <c r="L490" s="3" t="n">
        <v>38.73</v>
      </c>
      <c r="M490" s="3" t="n">
        <v>23.86</v>
      </c>
      <c r="N490" s="3" t="n">
        <v>14.87</v>
      </c>
    </row>
    <row r="491">
      <c r="A491" t="inlineStr">
        <is>
          <t>SO-2403-10489</t>
        </is>
      </c>
      <c r="B491" s="1" t="n">
        <v>45363</v>
      </c>
      <c r="C491" t="inlineStr">
        <is>
          <t>Northeast</t>
        </is>
      </c>
      <c r="D491" t="inlineStr">
        <is>
          <t>NJ</t>
        </is>
      </c>
      <c r="E491" t="inlineStr">
        <is>
          <t>Newark</t>
        </is>
      </c>
      <c r="F491" t="inlineStr">
        <is>
          <t>In-Store</t>
        </is>
      </c>
      <c r="G491" t="inlineStr">
        <is>
          <t>Consumer</t>
        </is>
      </c>
      <c r="H491" t="inlineStr">
        <is>
          <t>Furniture</t>
        </is>
      </c>
      <c r="I491" t="inlineStr">
        <is>
          <t>Standing Desk</t>
        </is>
      </c>
      <c r="J491" s="2" t="n">
        <v>1</v>
      </c>
      <c r="K491" s="3" t="n">
        <v>300.01</v>
      </c>
      <c r="L491" s="3" t="n">
        <v>300.01</v>
      </c>
      <c r="M491" s="3" t="n">
        <v>193.56</v>
      </c>
      <c r="N491" s="3" t="n">
        <v>106.45</v>
      </c>
    </row>
    <row r="492">
      <c r="A492" t="inlineStr">
        <is>
          <t>SO-2508-10490</t>
        </is>
      </c>
      <c r="B492" s="1" t="n">
        <v>45878</v>
      </c>
      <c r="C492" t="inlineStr">
        <is>
          <t>Midwest</t>
        </is>
      </c>
      <c r="D492" t="inlineStr">
        <is>
          <t>MN</t>
        </is>
      </c>
      <c r="E492" t="inlineStr">
        <is>
          <t>Minneapolis</t>
        </is>
      </c>
      <c r="F492" t="inlineStr">
        <is>
          <t>Partner</t>
        </is>
      </c>
      <c r="G492" t="inlineStr">
        <is>
          <t>Consumer</t>
        </is>
      </c>
      <c r="H492" t="inlineStr">
        <is>
          <t>Technology</t>
        </is>
      </c>
      <c r="I492" t="inlineStr">
        <is>
          <t>Monitor</t>
        </is>
      </c>
      <c r="J492" s="2" t="n">
        <v>2</v>
      </c>
      <c r="K492" s="3" t="n">
        <v>191.06</v>
      </c>
      <c r="L492" s="3" t="n">
        <v>382.12</v>
      </c>
      <c r="M492" s="3" t="n">
        <v>273.67</v>
      </c>
      <c r="N492" s="3" t="n">
        <v>108.45</v>
      </c>
    </row>
    <row r="493">
      <c r="A493" t="inlineStr">
        <is>
          <t>SO-2401-10491</t>
        </is>
      </c>
      <c r="B493" s="1" t="n">
        <v>45296</v>
      </c>
      <c r="C493" t="inlineStr">
        <is>
          <t>South</t>
        </is>
      </c>
      <c r="D493" t="inlineStr">
        <is>
          <t>TN</t>
        </is>
      </c>
      <c r="E493" t="inlineStr">
        <is>
          <t>Nashville</t>
        </is>
      </c>
      <c r="F493" t="inlineStr">
        <is>
          <t>Partner</t>
        </is>
      </c>
      <c r="G493" t="inlineStr">
        <is>
          <t>Consumer</t>
        </is>
      </c>
      <c r="H493" t="inlineStr">
        <is>
          <t>Technology</t>
        </is>
      </c>
      <c r="I493" t="inlineStr">
        <is>
          <t>Laptop Stand</t>
        </is>
      </c>
      <c r="J493" s="2" t="n">
        <v>2</v>
      </c>
      <c r="K493" s="3" t="n">
        <v>34.06</v>
      </c>
      <c r="L493" s="3" t="n">
        <v>68.12</v>
      </c>
      <c r="M493" s="3" t="n">
        <v>42.79</v>
      </c>
      <c r="N493" s="3" t="n">
        <v>25.33</v>
      </c>
    </row>
    <row r="494">
      <c r="A494" t="inlineStr">
        <is>
          <t>SO-2407-10492</t>
        </is>
      </c>
      <c r="B494" s="1" t="n">
        <v>45478</v>
      </c>
      <c r="C494" t="inlineStr">
        <is>
          <t>Midwest</t>
        </is>
      </c>
      <c r="D494" t="inlineStr">
        <is>
          <t>MN</t>
        </is>
      </c>
      <c r="E494" t="inlineStr">
        <is>
          <t>Minneapolis</t>
        </is>
      </c>
      <c r="F494" t="inlineStr">
        <is>
          <t>In-Store</t>
        </is>
      </c>
      <c r="G494" t="inlineStr">
        <is>
          <t>Consumer</t>
        </is>
      </c>
      <c r="H494" t="inlineStr">
        <is>
          <t>Technology</t>
        </is>
      </c>
      <c r="I494" t="inlineStr">
        <is>
          <t>Keyboard</t>
        </is>
      </c>
      <c r="J494" s="2" t="n">
        <v>1</v>
      </c>
      <c r="K494" s="3" t="n">
        <v>38.07</v>
      </c>
      <c r="L494" s="3" t="n">
        <v>38.07</v>
      </c>
      <c r="M494" s="3" t="n">
        <v>26.61</v>
      </c>
      <c r="N494" s="3" t="n">
        <v>11.46</v>
      </c>
    </row>
    <row r="495">
      <c r="A495" t="inlineStr">
        <is>
          <t>SO-2401-10493</t>
        </is>
      </c>
      <c r="B495" s="1" t="n">
        <v>45312</v>
      </c>
      <c r="C495" t="inlineStr">
        <is>
          <t>Northeast</t>
        </is>
      </c>
      <c r="D495" t="inlineStr">
        <is>
          <t>NY</t>
        </is>
      </c>
      <c r="E495" t="inlineStr">
        <is>
          <t>New York</t>
        </is>
      </c>
      <c r="F495" t="inlineStr">
        <is>
          <t>In-Store</t>
        </is>
      </c>
      <c r="G495" t="inlineStr">
        <is>
          <t>Small Business</t>
        </is>
      </c>
      <c r="H495" t="inlineStr">
        <is>
          <t>Furniture</t>
        </is>
      </c>
      <c r="I495" t="inlineStr">
        <is>
          <t>Bookshelf</t>
        </is>
      </c>
      <c r="J495" s="2" t="n">
        <v>3</v>
      </c>
      <c r="K495" s="3" t="n">
        <v>98.27</v>
      </c>
      <c r="L495" s="3" t="n">
        <v>294.81</v>
      </c>
      <c r="M495" s="3" t="n">
        <v>197.12</v>
      </c>
      <c r="N495" s="3" t="n">
        <v>97.69</v>
      </c>
    </row>
    <row r="496">
      <c r="A496" t="inlineStr">
        <is>
          <t>SO-2401-10494</t>
        </is>
      </c>
      <c r="B496" s="1" t="n">
        <v>45309</v>
      </c>
      <c r="C496" t="inlineStr">
        <is>
          <t>Midwest</t>
        </is>
      </c>
      <c r="D496" t="inlineStr">
        <is>
          <t>MN</t>
        </is>
      </c>
      <c r="E496" t="inlineStr">
        <is>
          <t>Minneapolis</t>
        </is>
      </c>
      <c r="F496" t="inlineStr">
        <is>
          <t>In-Store</t>
        </is>
      </c>
      <c r="G496" t="inlineStr">
        <is>
          <t>Corporate</t>
        </is>
      </c>
      <c r="H496" t="inlineStr">
        <is>
          <t>Office Supplies</t>
        </is>
      </c>
      <c r="I496" t="inlineStr">
        <is>
          <t>Binders</t>
        </is>
      </c>
      <c r="J496" s="2" t="n">
        <v>2</v>
      </c>
      <c r="K496" s="3" t="n">
        <v>9.25</v>
      </c>
      <c r="L496" s="3" t="n">
        <v>18.5</v>
      </c>
      <c r="M496" s="3" t="n">
        <v>11.87</v>
      </c>
      <c r="N496" s="3" t="n">
        <v>6.63</v>
      </c>
    </row>
    <row r="497">
      <c r="A497" t="inlineStr">
        <is>
          <t>SO-2512-10495</t>
        </is>
      </c>
      <c r="B497" s="1" t="n">
        <v>45998</v>
      </c>
      <c r="C497" t="inlineStr">
        <is>
          <t>South</t>
        </is>
      </c>
      <c r="D497" t="inlineStr">
        <is>
          <t>FL</t>
        </is>
      </c>
      <c r="E497" t="inlineStr">
        <is>
          <t>Miami</t>
        </is>
      </c>
      <c r="F497" t="inlineStr">
        <is>
          <t>In-Store</t>
        </is>
      </c>
      <c r="G497" t="inlineStr">
        <is>
          <t>Consumer</t>
        </is>
      </c>
      <c r="H497" t="inlineStr">
        <is>
          <t>Furniture</t>
        </is>
      </c>
      <c r="I497" t="inlineStr">
        <is>
          <t>Desk Chair</t>
        </is>
      </c>
      <c r="J497" s="2" t="n">
        <v>1</v>
      </c>
      <c r="K497" s="3" t="n">
        <v>121.25</v>
      </c>
      <c r="L497" s="3" t="n">
        <v>121.25</v>
      </c>
      <c r="M497" s="3" t="n">
        <v>73.63</v>
      </c>
      <c r="N497" s="3" t="n">
        <v>47.62</v>
      </c>
    </row>
    <row r="498">
      <c r="A498" t="inlineStr">
        <is>
          <t>SO-2503-10496</t>
        </is>
      </c>
      <c r="B498" s="1" t="n">
        <v>45739</v>
      </c>
      <c r="C498" t="inlineStr">
        <is>
          <t>South</t>
        </is>
      </c>
      <c r="D498" t="inlineStr">
        <is>
          <t>AL</t>
        </is>
      </c>
      <c r="E498" t="inlineStr">
        <is>
          <t>Birmingham</t>
        </is>
      </c>
      <c r="F498" t="inlineStr">
        <is>
          <t>In-Store</t>
        </is>
      </c>
      <c r="G498" t="inlineStr">
        <is>
          <t>Consumer</t>
        </is>
      </c>
      <c r="H498" t="inlineStr">
        <is>
          <t>Office Supplies</t>
        </is>
      </c>
      <c r="I498" t="inlineStr">
        <is>
          <t>Paper</t>
        </is>
      </c>
      <c r="J498" s="2" t="n">
        <v>3</v>
      </c>
      <c r="K498" s="3" t="n">
        <v>7.49</v>
      </c>
      <c r="L498" s="3" t="n">
        <v>22.47</v>
      </c>
      <c r="M498" s="3" t="n">
        <v>12.83</v>
      </c>
      <c r="N498" s="3" t="n">
        <v>9.640000000000001</v>
      </c>
    </row>
    <row r="499">
      <c r="A499" t="inlineStr">
        <is>
          <t>SO-2505-10497</t>
        </is>
      </c>
      <c r="B499" s="1" t="n">
        <v>45800</v>
      </c>
      <c r="C499" t="inlineStr">
        <is>
          <t>South</t>
        </is>
      </c>
      <c r="D499" t="inlineStr">
        <is>
          <t>AL</t>
        </is>
      </c>
      <c r="E499" t="inlineStr">
        <is>
          <t>Birmingham</t>
        </is>
      </c>
      <c r="F499" t="inlineStr">
        <is>
          <t>Partner</t>
        </is>
      </c>
      <c r="G499" t="inlineStr">
        <is>
          <t>Corporate</t>
        </is>
      </c>
      <c r="H499" t="inlineStr">
        <is>
          <t>Furniture</t>
        </is>
      </c>
      <c r="I499" t="inlineStr">
        <is>
          <t>Desk Chair</t>
        </is>
      </c>
      <c r="J499" s="2" t="n">
        <v>3</v>
      </c>
      <c r="K499" s="3" t="n">
        <v>140.63</v>
      </c>
      <c r="L499" s="3" t="n">
        <v>421.89</v>
      </c>
      <c r="M499" s="3" t="n">
        <v>247.56</v>
      </c>
      <c r="N499" s="3" t="n">
        <v>174.33</v>
      </c>
    </row>
    <row r="500">
      <c r="A500" t="inlineStr">
        <is>
          <t>SO-2405-10498</t>
        </is>
      </c>
      <c r="B500" s="1" t="n">
        <v>45419</v>
      </c>
      <c r="C500" t="inlineStr">
        <is>
          <t>West</t>
        </is>
      </c>
      <c r="D500" t="inlineStr">
        <is>
          <t>CA</t>
        </is>
      </c>
      <c r="E500" t="inlineStr">
        <is>
          <t>Los Angeles</t>
        </is>
      </c>
      <c r="F500" t="inlineStr">
        <is>
          <t>Online</t>
        </is>
      </c>
      <c r="G500" t="inlineStr">
        <is>
          <t>Consumer</t>
        </is>
      </c>
      <c r="H500" t="inlineStr">
        <is>
          <t>Furniture</t>
        </is>
      </c>
      <c r="I500" t="inlineStr">
        <is>
          <t>Standing Desk</t>
        </is>
      </c>
      <c r="J500" s="2" t="n">
        <v>3</v>
      </c>
      <c r="K500" s="3" t="n">
        <v>308.72</v>
      </c>
      <c r="L500" s="3" t="n">
        <v>926.16</v>
      </c>
      <c r="M500" s="3" t="n">
        <v>545.98</v>
      </c>
      <c r="N500" s="3" t="n">
        <v>380.18</v>
      </c>
    </row>
    <row r="501">
      <c r="A501" t="inlineStr">
        <is>
          <t>SO-2407-10499</t>
        </is>
      </c>
      <c r="B501" s="1" t="n">
        <v>45494</v>
      </c>
      <c r="C501" t="inlineStr">
        <is>
          <t>Midwest</t>
        </is>
      </c>
      <c r="D501" t="inlineStr">
        <is>
          <t>OH</t>
        </is>
      </c>
      <c r="E501" t="inlineStr">
        <is>
          <t>Columbus</t>
        </is>
      </c>
      <c r="F501" t="inlineStr">
        <is>
          <t>In-Store</t>
        </is>
      </c>
      <c r="G501" t="inlineStr">
        <is>
          <t>Consumer</t>
        </is>
      </c>
      <c r="H501" t="inlineStr">
        <is>
          <t>Office Supplies</t>
        </is>
      </c>
      <c r="I501" t="inlineStr">
        <is>
          <t>Stapler</t>
        </is>
      </c>
      <c r="J501" s="2" t="n">
        <v>2</v>
      </c>
      <c r="K501" s="3" t="n">
        <v>11.67</v>
      </c>
      <c r="L501" s="3" t="n">
        <v>23.34</v>
      </c>
      <c r="M501" s="3" t="n">
        <v>13.47</v>
      </c>
      <c r="N501" s="3" t="n">
        <v>9.869999999999999</v>
      </c>
    </row>
    <row r="502">
      <c r="A502" t="inlineStr">
        <is>
          <t>SO-2512-10500</t>
        </is>
      </c>
      <c r="B502" s="1" t="n">
        <v>46014</v>
      </c>
      <c r="C502" t="inlineStr">
        <is>
          <t>West</t>
        </is>
      </c>
      <c r="D502" t="inlineStr">
        <is>
          <t>AZ</t>
        </is>
      </c>
      <c r="E502" t="inlineStr">
        <is>
          <t>Phoenix</t>
        </is>
      </c>
      <c r="F502" t="inlineStr">
        <is>
          <t>Online</t>
        </is>
      </c>
      <c r="G502" t="inlineStr">
        <is>
          <t>Consumer</t>
        </is>
      </c>
      <c r="H502" t="inlineStr">
        <is>
          <t>Technology</t>
        </is>
      </c>
      <c r="I502" t="inlineStr">
        <is>
          <t>Laptop Stand</t>
        </is>
      </c>
      <c r="J502" s="2" t="n">
        <v>4</v>
      </c>
      <c r="K502" s="3" t="n">
        <v>27.77</v>
      </c>
      <c r="L502" s="3" t="n">
        <v>111.08</v>
      </c>
      <c r="M502" s="3" t="n">
        <v>86.13</v>
      </c>
      <c r="N502" s="3" t="n">
        <v>24.95</v>
      </c>
    </row>
    <row r="503">
      <c r="A503" t="inlineStr">
        <is>
          <t>SO-2507-10501</t>
        </is>
      </c>
      <c r="B503" s="1" t="n">
        <v>45852</v>
      </c>
      <c r="C503" t="inlineStr">
        <is>
          <t>Northeast</t>
        </is>
      </c>
      <c r="D503" t="inlineStr">
        <is>
          <t>MA</t>
        </is>
      </c>
      <c r="E503" t="inlineStr">
        <is>
          <t>Boston</t>
        </is>
      </c>
      <c r="F503" t="inlineStr">
        <is>
          <t>Partner</t>
        </is>
      </c>
      <c r="G503" t="inlineStr">
        <is>
          <t>Consumer</t>
        </is>
      </c>
      <c r="H503" t="inlineStr">
        <is>
          <t>Technology</t>
        </is>
      </c>
      <c r="I503" t="inlineStr">
        <is>
          <t>Mouse</t>
        </is>
      </c>
      <c r="J503" s="2" t="n">
        <v>3</v>
      </c>
      <c r="K503" s="3" t="n">
        <v>19.66</v>
      </c>
      <c r="L503" s="3" t="n">
        <v>58.98</v>
      </c>
      <c r="M503" s="3" t="n">
        <v>45</v>
      </c>
      <c r="N503" s="3" t="n">
        <v>13.98</v>
      </c>
    </row>
    <row r="504">
      <c r="A504" t="inlineStr">
        <is>
          <t>SO-2507-10502</t>
        </is>
      </c>
      <c r="B504" s="1" t="n">
        <v>45866</v>
      </c>
      <c r="C504" t="inlineStr">
        <is>
          <t>West</t>
        </is>
      </c>
      <c r="D504" t="inlineStr">
        <is>
          <t>CO</t>
        </is>
      </c>
      <c r="E504" t="inlineStr">
        <is>
          <t>Denver</t>
        </is>
      </c>
      <c r="F504" t="inlineStr">
        <is>
          <t>Partner</t>
        </is>
      </c>
      <c r="G504" t="inlineStr">
        <is>
          <t>Consumer</t>
        </is>
      </c>
      <c r="H504" t="inlineStr">
        <is>
          <t>Office Supplies</t>
        </is>
      </c>
      <c r="I504" t="inlineStr">
        <is>
          <t>Binders</t>
        </is>
      </c>
      <c r="J504" s="2" t="n">
        <v>4</v>
      </c>
      <c r="K504" s="3" t="n">
        <v>10.47</v>
      </c>
      <c r="L504" s="3" t="n">
        <v>41.88</v>
      </c>
      <c r="M504" s="3" t="n">
        <v>26.25</v>
      </c>
      <c r="N504" s="3" t="n">
        <v>15.63</v>
      </c>
    </row>
    <row r="505">
      <c r="A505" t="inlineStr">
        <is>
          <t>SO-2512-10503</t>
        </is>
      </c>
      <c r="B505" s="1" t="n">
        <v>46010</v>
      </c>
      <c r="C505" t="inlineStr">
        <is>
          <t>West</t>
        </is>
      </c>
      <c r="D505" t="inlineStr">
        <is>
          <t>WA</t>
        </is>
      </c>
      <c r="E505" t="inlineStr">
        <is>
          <t>Seattle</t>
        </is>
      </c>
      <c r="F505" t="inlineStr">
        <is>
          <t>Partner</t>
        </is>
      </c>
      <c r="G505" t="inlineStr">
        <is>
          <t>Consumer</t>
        </is>
      </c>
      <c r="H505" t="inlineStr">
        <is>
          <t>Furniture</t>
        </is>
      </c>
      <c r="I505" t="inlineStr">
        <is>
          <t>Filing Cabinet</t>
        </is>
      </c>
      <c r="J505" s="2" t="n">
        <v>1</v>
      </c>
      <c r="K505" s="3" t="n">
        <v>143.51</v>
      </c>
      <c r="L505" s="3" t="n">
        <v>143.51</v>
      </c>
      <c r="M505" s="3" t="n">
        <v>105.75</v>
      </c>
      <c r="N505" s="3" t="n">
        <v>37.76</v>
      </c>
    </row>
    <row r="506">
      <c r="A506" t="inlineStr">
        <is>
          <t>SO-2508-10504</t>
        </is>
      </c>
      <c r="B506" s="1" t="n">
        <v>45885</v>
      </c>
      <c r="C506" t="inlineStr">
        <is>
          <t>Midwest</t>
        </is>
      </c>
      <c r="D506" t="inlineStr">
        <is>
          <t>MN</t>
        </is>
      </c>
      <c r="E506" t="inlineStr">
        <is>
          <t>Minneapolis</t>
        </is>
      </c>
      <c r="F506" t="inlineStr">
        <is>
          <t>Partner</t>
        </is>
      </c>
      <c r="G506" t="inlineStr">
        <is>
          <t>Consumer</t>
        </is>
      </c>
      <c r="H506" t="inlineStr">
        <is>
          <t>Furniture</t>
        </is>
      </c>
      <c r="I506" t="inlineStr">
        <is>
          <t>Standing Desk</t>
        </is>
      </c>
      <c r="J506" s="2" t="n">
        <v>1</v>
      </c>
      <c r="K506" s="3" t="n">
        <v>306.28</v>
      </c>
      <c r="L506" s="3" t="n">
        <v>306.28</v>
      </c>
      <c r="M506" s="3" t="n">
        <v>227.62</v>
      </c>
      <c r="N506" s="3" t="n">
        <v>78.66</v>
      </c>
    </row>
    <row r="507">
      <c r="A507" t="inlineStr">
        <is>
          <t>SO-2401-10505</t>
        </is>
      </c>
      <c r="B507" s="1" t="n">
        <v>45296</v>
      </c>
      <c r="C507" t="inlineStr">
        <is>
          <t>Midwest</t>
        </is>
      </c>
      <c r="D507" t="inlineStr">
        <is>
          <t>MN</t>
        </is>
      </c>
      <c r="E507" t="inlineStr">
        <is>
          <t>Minneapolis</t>
        </is>
      </c>
      <c r="F507" t="inlineStr">
        <is>
          <t>Partner</t>
        </is>
      </c>
      <c r="G507" t="inlineStr">
        <is>
          <t>Small Business</t>
        </is>
      </c>
      <c r="H507" t="inlineStr">
        <is>
          <t>Office Supplies</t>
        </is>
      </c>
      <c r="I507" t="inlineStr">
        <is>
          <t>Binders</t>
        </is>
      </c>
      <c r="J507" s="2" t="n">
        <v>2</v>
      </c>
      <c r="K507" s="3" t="n">
        <v>11.47</v>
      </c>
      <c r="L507" s="3" t="n">
        <v>22.94</v>
      </c>
      <c r="M507" s="3" t="n">
        <v>13.34</v>
      </c>
      <c r="N507" s="3" t="n">
        <v>9.6</v>
      </c>
    </row>
    <row r="508">
      <c r="A508" t="inlineStr">
        <is>
          <t>SO-2410-10506</t>
        </is>
      </c>
      <c r="B508" s="1" t="n">
        <v>45573</v>
      </c>
      <c r="C508" t="inlineStr">
        <is>
          <t>Midwest</t>
        </is>
      </c>
      <c r="D508" t="inlineStr">
        <is>
          <t>MI</t>
        </is>
      </c>
      <c r="E508" t="inlineStr">
        <is>
          <t>Detroit</t>
        </is>
      </c>
      <c r="F508" t="inlineStr">
        <is>
          <t>Online</t>
        </is>
      </c>
      <c r="G508" t="inlineStr">
        <is>
          <t>Corporate</t>
        </is>
      </c>
      <c r="H508" t="inlineStr">
        <is>
          <t>Furniture</t>
        </is>
      </c>
      <c r="I508" t="inlineStr">
        <is>
          <t>Bookshelf</t>
        </is>
      </c>
      <c r="J508" s="2" t="n">
        <v>1</v>
      </c>
      <c r="K508" s="3" t="n">
        <v>98.12</v>
      </c>
      <c r="L508" s="3" t="n">
        <v>98.12</v>
      </c>
      <c r="M508" s="3" t="n">
        <v>66.02</v>
      </c>
      <c r="N508" s="3" t="n">
        <v>32.1</v>
      </c>
    </row>
    <row r="509">
      <c r="A509" t="inlineStr">
        <is>
          <t>SO-2401-10507</t>
        </is>
      </c>
      <c r="B509" s="1" t="n">
        <v>45296</v>
      </c>
      <c r="C509" t="inlineStr">
        <is>
          <t>South</t>
        </is>
      </c>
      <c r="D509" t="inlineStr">
        <is>
          <t>AL</t>
        </is>
      </c>
      <c r="E509" t="inlineStr">
        <is>
          <t>Birmingham</t>
        </is>
      </c>
      <c r="F509" t="inlineStr">
        <is>
          <t>Online</t>
        </is>
      </c>
      <c r="G509" t="inlineStr">
        <is>
          <t>Small Business</t>
        </is>
      </c>
      <c r="H509" t="inlineStr">
        <is>
          <t>Technology</t>
        </is>
      </c>
      <c r="I509" t="inlineStr">
        <is>
          <t>Mouse</t>
        </is>
      </c>
      <c r="J509" s="2" t="n">
        <v>6</v>
      </c>
      <c r="K509" s="3" t="n">
        <v>20.43</v>
      </c>
      <c r="L509" s="3" t="n">
        <v>122.58</v>
      </c>
      <c r="M509" s="3" t="n">
        <v>86.48999999999999</v>
      </c>
      <c r="N509" s="3" t="n">
        <v>36.09</v>
      </c>
    </row>
    <row r="510">
      <c r="A510" t="inlineStr">
        <is>
          <t>SO-2409-10508</t>
        </is>
      </c>
      <c r="B510" s="1" t="n">
        <v>45554</v>
      </c>
      <c r="C510" t="inlineStr">
        <is>
          <t>Northeast</t>
        </is>
      </c>
      <c r="D510" t="inlineStr">
        <is>
          <t>NY</t>
        </is>
      </c>
      <c r="E510" t="inlineStr">
        <is>
          <t>New York</t>
        </is>
      </c>
      <c r="F510" t="inlineStr">
        <is>
          <t>Online</t>
        </is>
      </c>
      <c r="G510" t="inlineStr">
        <is>
          <t>Small Business</t>
        </is>
      </c>
      <c r="H510" t="inlineStr">
        <is>
          <t>Technology</t>
        </is>
      </c>
      <c r="I510" t="inlineStr">
        <is>
          <t>Monitor</t>
        </is>
      </c>
      <c r="J510" s="2" t="n">
        <v>3</v>
      </c>
      <c r="K510" s="3" t="n">
        <v>200.32</v>
      </c>
      <c r="L510" s="3" t="n">
        <v>600.96</v>
      </c>
      <c r="M510" s="3" t="n">
        <v>407.67</v>
      </c>
      <c r="N510" s="3" t="n">
        <v>193.29</v>
      </c>
    </row>
    <row r="511">
      <c r="A511" t="inlineStr">
        <is>
          <t>SO-2410-10509</t>
        </is>
      </c>
      <c r="B511" s="1" t="n">
        <v>45576</v>
      </c>
      <c r="C511" t="inlineStr">
        <is>
          <t>West</t>
        </is>
      </c>
      <c r="D511" t="inlineStr">
        <is>
          <t>AZ</t>
        </is>
      </c>
      <c r="E511" t="inlineStr">
        <is>
          <t>Phoenix</t>
        </is>
      </c>
      <c r="F511" t="inlineStr">
        <is>
          <t>In-Store</t>
        </is>
      </c>
      <c r="G511" t="inlineStr">
        <is>
          <t>Consumer</t>
        </is>
      </c>
      <c r="H511" t="inlineStr">
        <is>
          <t>Office Supplies</t>
        </is>
      </c>
      <c r="I511" t="inlineStr">
        <is>
          <t>Paper</t>
        </is>
      </c>
      <c r="J511" s="2" t="n">
        <v>2</v>
      </c>
      <c r="K511" s="3" t="n">
        <v>6.98</v>
      </c>
      <c r="L511" s="3" t="n">
        <v>13.96</v>
      </c>
      <c r="M511" s="3" t="n">
        <v>9.19</v>
      </c>
      <c r="N511" s="3" t="n">
        <v>4.77</v>
      </c>
    </row>
    <row r="512">
      <c r="A512" t="inlineStr">
        <is>
          <t>SO-2405-10510</t>
        </is>
      </c>
      <c r="B512" s="1" t="n">
        <v>45440</v>
      </c>
      <c r="C512" t="inlineStr">
        <is>
          <t>West</t>
        </is>
      </c>
      <c r="D512" t="inlineStr">
        <is>
          <t>AZ</t>
        </is>
      </c>
      <c r="E512" t="inlineStr">
        <is>
          <t>Phoenix</t>
        </is>
      </c>
      <c r="F512" t="inlineStr">
        <is>
          <t>Partner</t>
        </is>
      </c>
      <c r="G512" t="inlineStr">
        <is>
          <t>Corporate</t>
        </is>
      </c>
      <c r="H512" t="inlineStr">
        <is>
          <t>Technology</t>
        </is>
      </c>
      <c r="I512" t="inlineStr">
        <is>
          <t>Monitor</t>
        </is>
      </c>
      <c r="J512" s="2" t="n">
        <v>3</v>
      </c>
      <c r="K512" s="3" t="n">
        <v>174.66</v>
      </c>
      <c r="L512" s="3" t="n">
        <v>523.98</v>
      </c>
      <c r="M512" s="3" t="n">
        <v>358.98</v>
      </c>
      <c r="N512" s="3" t="n">
        <v>165</v>
      </c>
    </row>
    <row r="513">
      <c r="A513" t="inlineStr">
        <is>
          <t>SO-2401-10511</t>
        </is>
      </c>
      <c r="B513" s="1" t="n">
        <v>45318</v>
      </c>
      <c r="C513" t="inlineStr">
        <is>
          <t>South</t>
        </is>
      </c>
      <c r="D513" t="inlineStr">
        <is>
          <t>AL</t>
        </is>
      </c>
      <c r="E513" t="inlineStr">
        <is>
          <t>Birmingham</t>
        </is>
      </c>
      <c r="F513" t="inlineStr">
        <is>
          <t>Online</t>
        </is>
      </c>
      <c r="G513" t="inlineStr">
        <is>
          <t>Consumer</t>
        </is>
      </c>
      <c r="H513" t="inlineStr">
        <is>
          <t>Technology</t>
        </is>
      </c>
      <c r="I513" t="inlineStr">
        <is>
          <t>Laptop Stand</t>
        </is>
      </c>
      <c r="J513" s="2" t="n">
        <v>6</v>
      </c>
      <c r="K513" s="3" t="n">
        <v>33.21</v>
      </c>
      <c r="L513" s="3" t="n">
        <v>199.26</v>
      </c>
      <c r="M513" s="3" t="n">
        <v>137.72</v>
      </c>
      <c r="N513" s="3" t="n">
        <v>61.54</v>
      </c>
    </row>
    <row r="514">
      <c r="A514" t="inlineStr">
        <is>
          <t>SO-2509-10512</t>
        </is>
      </c>
      <c r="B514" s="1" t="n">
        <v>45915</v>
      </c>
      <c r="C514" t="inlineStr">
        <is>
          <t>South</t>
        </is>
      </c>
      <c r="D514" t="inlineStr">
        <is>
          <t>AL</t>
        </is>
      </c>
      <c r="E514" t="inlineStr">
        <is>
          <t>Birmingham</t>
        </is>
      </c>
      <c r="F514" t="inlineStr">
        <is>
          <t>Online</t>
        </is>
      </c>
      <c r="G514" t="inlineStr">
        <is>
          <t>Consumer</t>
        </is>
      </c>
      <c r="H514" t="inlineStr">
        <is>
          <t>Technology</t>
        </is>
      </c>
      <c r="I514" t="inlineStr">
        <is>
          <t>Laptop Stand</t>
        </is>
      </c>
      <c r="J514" s="2" t="n">
        <v>2</v>
      </c>
      <c r="K514" s="3" t="n">
        <v>33.37</v>
      </c>
      <c r="L514" s="3" t="n">
        <v>66.73999999999999</v>
      </c>
      <c r="M514" s="3" t="n">
        <v>43.54</v>
      </c>
      <c r="N514" s="3" t="n">
        <v>23.2</v>
      </c>
    </row>
    <row r="515">
      <c r="A515" t="inlineStr">
        <is>
          <t>SO-2408-10513</t>
        </is>
      </c>
      <c r="B515" s="1" t="n">
        <v>45521</v>
      </c>
      <c r="C515" t="inlineStr">
        <is>
          <t>South</t>
        </is>
      </c>
      <c r="D515" t="inlineStr">
        <is>
          <t>AL</t>
        </is>
      </c>
      <c r="E515" t="inlineStr">
        <is>
          <t>Birmingham</t>
        </is>
      </c>
      <c r="F515" t="inlineStr">
        <is>
          <t>In-Store</t>
        </is>
      </c>
      <c r="G515" t="inlineStr">
        <is>
          <t>Corporate</t>
        </is>
      </c>
      <c r="H515" t="inlineStr">
        <is>
          <t>Furniture</t>
        </is>
      </c>
      <c r="I515" t="inlineStr">
        <is>
          <t>Bookshelf</t>
        </is>
      </c>
      <c r="J515" s="2" t="n">
        <v>3</v>
      </c>
      <c r="K515" s="3" t="n">
        <v>85.56999999999999</v>
      </c>
      <c r="L515" s="3" t="n">
        <v>256.71</v>
      </c>
      <c r="M515" s="3" t="n">
        <v>169.57</v>
      </c>
      <c r="N515" s="3" t="n">
        <v>87.14</v>
      </c>
    </row>
    <row r="516">
      <c r="A516" t="inlineStr">
        <is>
          <t>SO-2503-10514</t>
        </is>
      </c>
      <c r="B516" s="1" t="n">
        <v>45746</v>
      </c>
      <c r="C516" t="inlineStr">
        <is>
          <t>South</t>
        </is>
      </c>
      <c r="D516" t="inlineStr">
        <is>
          <t>AL</t>
        </is>
      </c>
      <c r="E516" t="inlineStr">
        <is>
          <t>Birmingham</t>
        </is>
      </c>
      <c r="F516" t="inlineStr">
        <is>
          <t>Online</t>
        </is>
      </c>
      <c r="G516" t="inlineStr">
        <is>
          <t>Consumer</t>
        </is>
      </c>
      <c r="H516" t="inlineStr">
        <is>
          <t>Office Supplies</t>
        </is>
      </c>
      <c r="I516" t="inlineStr">
        <is>
          <t>Binders</t>
        </is>
      </c>
      <c r="J516" s="2" t="n">
        <v>5</v>
      </c>
      <c r="K516" s="3" t="n">
        <v>11.4</v>
      </c>
      <c r="L516" s="3" t="n">
        <v>57</v>
      </c>
      <c r="M516" s="3" t="n">
        <v>37.94</v>
      </c>
      <c r="N516" s="3" t="n">
        <v>19.06</v>
      </c>
    </row>
    <row r="517">
      <c r="A517" t="inlineStr">
        <is>
          <t>SO-2407-10515</t>
        </is>
      </c>
      <c r="B517" s="1" t="n">
        <v>45492</v>
      </c>
      <c r="C517" t="inlineStr">
        <is>
          <t>West</t>
        </is>
      </c>
      <c r="D517" t="inlineStr">
        <is>
          <t>CO</t>
        </is>
      </c>
      <c r="E517" t="inlineStr">
        <is>
          <t>Denver</t>
        </is>
      </c>
      <c r="F517" t="inlineStr">
        <is>
          <t>In-Store</t>
        </is>
      </c>
      <c r="G517" t="inlineStr">
        <is>
          <t>Consumer</t>
        </is>
      </c>
      <c r="H517" t="inlineStr">
        <is>
          <t>Technology</t>
        </is>
      </c>
      <c r="I517" t="inlineStr">
        <is>
          <t>Mouse</t>
        </is>
      </c>
      <c r="J517" s="2" t="n">
        <v>1</v>
      </c>
      <c r="K517" s="3" t="n">
        <v>21.46</v>
      </c>
      <c r="L517" s="3" t="n">
        <v>21.46</v>
      </c>
      <c r="M517" s="3" t="n">
        <v>14.67</v>
      </c>
      <c r="N517" s="3" t="n">
        <v>6.79</v>
      </c>
    </row>
    <row r="518">
      <c r="A518" t="inlineStr">
        <is>
          <t>SO-2507-10516</t>
        </is>
      </c>
      <c r="B518" s="1" t="n">
        <v>45868</v>
      </c>
      <c r="C518" t="inlineStr">
        <is>
          <t>South</t>
        </is>
      </c>
      <c r="D518" t="inlineStr">
        <is>
          <t>FL</t>
        </is>
      </c>
      <c r="E518" t="inlineStr">
        <is>
          <t>Miami</t>
        </is>
      </c>
      <c r="F518" t="inlineStr">
        <is>
          <t>In-Store</t>
        </is>
      </c>
      <c r="G518" t="inlineStr">
        <is>
          <t>Consumer</t>
        </is>
      </c>
      <c r="H518" t="inlineStr">
        <is>
          <t>Technology</t>
        </is>
      </c>
      <c r="I518" t="inlineStr">
        <is>
          <t>Keyboard</t>
        </is>
      </c>
      <c r="J518" s="2" t="n">
        <v>4</v>
      </c>
      <c r="K518" s="3" t="n">
        <v>44.97</v>
      </c>
      <c r="L518" s="3" t="n">
        <v>179.88</v>
      </c>
      <c r="M518" s="3" t="n">
        <v>123.13</v>
      </c>
      <c r="N518" s="3" t="n">
        <v>56.75</v>
      </c>
    </row>
    <row r="519">
      <c r="A519" t="inlineStr">
        <is>
          <t>SO-2405-10517</t>
        </is>
      </c>
      <c r="B519" s="1" t="n">
        <v>45435</v>
      </c>
      <c r="C519" t="inlineStr">
        <is>
          <t>West</t>
        </is>
      </c>
      <c r="D519" t="inlineStr">
        <is>
          <t>AZ</t>
        </is>
      </c>
      <c r="E519" t="inlineStr">
        <is>
          <t>Phoenix</t>
        </is>
      </c>
      <c r="F519" t="inlineStr">
        <is>
          <t>In-Store</t>
        </is>
      </c>
      <c r="G519" t="inlineStr">
        <is>
          <t>Small Business</t>
        </is>
      </c>
      <c r="H519" t="inlineStr">
        <is>
          <t>Office Supplies</t>
        </is>
      </c>
      <c r="I519" t="inlineStr">
        <is>
          <t>Binders</t>
        </is>
      </c>
      <c r="J519" s="2" t="n">
        <v>1</v>
      </c>
      <c r="K519" s="3" t="n">
        <v>11.15</v>
      </c>
      <c r="L519" s="3" t="n">
        <v>11.15</v>
      </c>
      <c r="M519" s="3" t="n">
        <v>6.75</v>
      </c>
      <c r="N519" s="3" t="n">
        <v>4.4</v>
      </c>
    </row>
    <row r="520">
      <c r="A520" t="inlineStr">
        <is>
          <t>SO-2410-10518</t>
        </is>
      </c>
      <c r="B520" s="1" t="n">
        <v>45583</v>
      </c>
      <c r="C520" t="inlineStr">
        <is>
          <t>Midwest</t>
        </is>
      </c>
      <c r="D520" t="inlineStr">
        <is>
          <t>MI</t>
        </is>
      </c>
      <c r="E520" t="inlineStr">
        <is>
          <t>Detroit</t>
        </is>
      </c>
      <c r="F520" t="inlineStr">
        <is>
          <t>In-Store</t>
        </is>
      </c>
      <c r="G520" t="inlineStr">
        <is>
          <t>Small Business</t>
        </is>
      </c>
      <c r="H520" t="inlineStr">
        <is>
          <t>Technology</t>
        </is>
      </c>
      <c r="I520" t="inlineStr">
        <is>
          <t>Keyboard</t>
        </is>
      </c>
      <c r="J520" s="2" t="n">
        <v>5</v>
      </c>
      <c r="K520" s="3" t="n">
        <v>37.76</v>
      </c>
      <c r="L520" s="3" t="n">
        <v>188.8</v>
      </c>
      <c r="M520" s="3" t="n">
        <v>120.23</v>
      </c>
      <c r="N520" s="3" t="n">
        <v>68.56999999999999</v>
      </c>
    </row>
    <row r="521">
      <c r="A521" t="inlineStr">
        <is>
          <t>SO-2509-10519</t>
        </is>
      </c>
      <c r="B521" s="1" t="n">
        <v>45911</v>
      </c>
      <c r="C521" t="inlineStr">
        <is>
          <t>Midwest</t>
        </is>
      </c>
      <c r="D521" t="inlineStr">
        <is>
          <t>MI</t>
        </is>
      </c>
      <c r="E521" t="inlineStr">
        <is>
          <t>Detroit</t>
        </is>
      </c>
      <c r="F521" t="inlineStr">
        <is>
          <t>Online</t>
        </is>
      </c>
      <c r="G521" t="inlineStr">
        <is>
          <t>Corporate</t>
        </is>
      </c>
      <c r="H521" t="inlineStr">
        <is>
          <t>Technology</t>
        </is>
      </c>
      <c r="I521" t="inlineStr">
        <is>
          <t>Keyboard</t>
        </is>
      </c>
      <c r="J521" s="2" t="n">
        <v>4</v>
      </c>
      <c r="K521" s="3" t="n">
        <v>40.51</v>
      </c>
      <c r="L521" s="3" t="n">
        <v>162.04</v>
      </c>
      <c r="M521" s="3" t="n">
        <v>116.76</v>
      </c>
      <c r="N521" s="3" t="n">
        <v>45.28</v>
      </c>
    </row>
    <row r="522">
      <c r="A522" t="inlineStr">
        <is>
          <t>SO-2511-10520</t>
        </is>
      </c>
      <c r="B522" s="1" t="n">
        <v>45970</v>
      </c>
      <c r="C522" t="inlineStr">
        <is>
          <t>Midwest</t>
        </is>
      </c>
      <c r="D522" t="inlineStr">
        <is>
          <t>OH</t>
        </is>
      </c>
      <c r="E522" t="inlineStr">
        <is>
          <t>Columbus</t>
        </is>
      </c>
      <c r="F522" t="inlineStr">
        <is>
          <t>Online</t>
        </is>
      </c>
      <c r="G522" t="inlineStr">
        <is>
          <t>Consumer</t>
        </is>
      </c>
      <c r="H522" t="inlineStr">
        <is>
          <t>Furniture</t>
        </is>
      </c>
      <c r="I522" t="inlineStr">
        <is>
          <t>Desk Chair</t>
        </is>
      </c>
      <c r="J522" s="2" t="n">
        <v>3</v>
      </c>
      <c r="K522" s="3" t="n">
        <v>126.89</v>
      </c>
      <c r="L522" s="3" t="n">
        <v>380.67</v>
      </c>
      <c r="M522" s="3" t="n">
        <v>254.11</v>
      </c>
      <c r="N522" s="3" t="n">
        <v>126.56</v>
      </c>
    </row>
    <row r="523">
      <c r="A523" t="inlineStr">
        <is>
          <t>SO-2503-10521</t>
        </is>
      </c>
      <c r="B523" s="1" t="n">
        <v>45728</v>
      </c>
      <c r="C523" t="inlineStr">
        <is>
          <t>South</t>
        </is>
      </c>
      <c r="D523" t="inlineStr">
        <is>
          <t>FL</t>
        </is>
      </c>
      <c r="E523" t="inlineStr">
        <is>
          <t>Miami</t>
        </is>
      </c>
      <c r="F523" t="inlineStr">
        <is>
          <t>Online</t>
        </is>
      </c>
      <c r="G523" t="inlineStr">
        <is>
          <t>Corporate</t>
        </is>
      </c>
      <c r="H523" t="inlineStr">
        <is>
          <t>Office Supplies</t>
        </is>
      </c>
      <c r="I523" t="inlineStr">
        <is>
          <t>Pens</t>
        </is>
      </c>
      <c r="J523" s="2" t="n">
        <v>8</v>
      </c>
      <c r="K523" s="3" t="n">
        <v>4.73</v>
      </c>
      <c r="L523" s="3" t="n">
        <v>37.84</v>
      </c>
      <c r="M523" s="3" t="n">
        <v>24.86</v>
      </c>
      <c r="N523" s="3" t="n">
        <v>12.98</v>
      </c>
    </row>
    <row r="524">
      <c r="A524" t="inlineStr">
        <is>
          <t>SO-2508-10522</t>
        </is>
      </c>
      <c r="B524" s="1" t="n">
        <v>45878</v>
      </c>
      <c r="C524" t="inlineStr">
        <is>
          <t>Midwest</t>
        </is>
      </c>
      <c r="D524" t="inlineStr">
        <is>
          <t>IL</t>
        </is>
      </c>
      <c r="E524" t="inlineStr">
        <is>
          <t>Chicago</t>
        </is>
      </c>
      <c r="F524" t="inlineStr">
        <is>
          <t>Online</t>
        </is>
      </c>
      <c r="G524" t="inlineStr">
        <is>
          <t>Consumer</t>
        </is>
      </c>
      <c r="H524" t="inlineStr">
        <is>
          <t>Furniture</t>
        </is>
      </c>
      <c r="I524" t="inlineStr">
        <is>
          <t>Filing Cabinet</t>
        </is>
      </c>
      <c r="J524" s="2" t="n">
        <v>5</v>
      </c>
      <c r="K524" s="3" t="n">
        <v>152.79</v>
      </c>
      <c r="L524" s="3" t="n">
        <v>763.95</v>
      </c>
      <c r="M524" s="3" t="n">
        <v>466.56</v>
      </c>
      <c r="N524" s="3" t="n">
        <v>297.39</v>
      </c>
    </row>
    <row r="525">
      <c r="A525" t="inlineStr">
        <is>
          <t>SO-2501-10523</t>
        </is>
      </c>
      <c r="B525" s="1" t="n">
        <v>45685</v>
      </c>
      <c r="C525" t="inlineStr">
        <is>
          <t>Northeast</t>
        </is>
      </c>
      <c r="D525" t="inlineStr">
        <is>
          <t>NY</t>
        </is>
      </c>
      <c r="E525" t="inlineStr">
        <is>
          <t>New York</t>
        </is>
      </c>
      <c r="F525" t="inlineStr">
        <is>
          <t>In-Store</t>
        </is>
      </c>
      <c r="G525" t="inlineStr">
        <is>
          <t>Small Business</t>
        </is>
      </c>
      <c r="H525" t="inlineStr">
        <is>
          <t>Office Supplies</t>
        </is>
      </c>
      <c r="I525" t="inlineStr">
        <is>
          <t>Paper</t>
        </is>
      </c>
      <c r="J525" s="2" t="n">
        <v>3</v>
      </c>
      <c r="K525" s="3" t="n">
        <v>6.5</v>
      </c>
      <c r="L525" s="3" t="n">
        <v>19.5</v>
      </c>
      <c r="M525" s="3" t="n">
        <v>13.3</v>
      </c>
      <c r="N525" s="3" t="n">
        <v>6.2</v>
      </c>
    </row>
    <row r="526">
      <c r="A526" t="inlineStr">
        <is>
          <t>SO-2501-10524</t>
        </is>
      </c>
      <c r="B526" s="1" t="n">
        <v>45664</v>
      </c>
      <c r="C526" t="inlineStr">
        <is>
          <t>South</t>
        </is>
      </c>
      <c r="D526" t="inlineStr">
        <is>
          <t>GA</t>
        </is>
      </c>
      <c r="E526" t="inlineStr">
        <is>
          <t>Atlanta</t>
        </is>
      </c>
      <c r="F526" t="inlineStr">
        <is>
          <t>Partner</t>
        </is>
      </c>
      <c r="G526" t="inlineStr">
        <is>
          <t>Consumer</t>
        </is>
      </c>
      <c r="H526" t="inlineStr">
        <is>
          <t>Furniture</t>
        </is>
      </c>
      <c r="I526" t="inlineStr">
        <is>
          <t>Filing Cabinet</t>
        </is>
      </c>
      <c r="J526" s="2" t="n">
        <v>1</v>
      </c>
      <c r="K526" s="3" t="n">
        <v>141.3</v>
      </c>
      <c r="L526" s="3" t="n">
        <v>141.3</v>
      </c>
      <c r="M526" s="3" t="n">
        <v>85.51000000000001</v>
      </c>
      <c r="N526" s="3" t="n">
        <v>55.79</v>
      </c>
    </row>
    <row r="527">
      <c r="A527" t="inlineStr">
        <is>
          <t>SO-2501-10525</t>
        </is>
      </c>
      <c r="B527" s="1" t="n">
        <v>45670</v>
      </c>
      <c r="C527" t="inlineStr">
        <is>
          <t>South</t>
        </is>
      </c>
      <c r="D527" t="inlineStr">
        <is>
          <t>GA</t>
        </is>
      </c>
      <c r="E527" t="inlineStr">
        <is>
          <t>Atlanta</t>
        </is>
      </c>
      <c r="F527" t="inlineStr">
        <is>
          <t>In-Store</t>
        </is>
      </c>
      <c r="G527" t="inlineStr">
        <is>
          <t>Small Business</t>
        </is>
      </c>
      <c r="H527" t="inlineStr">
        <is>
          <t>Technology</t>
        </is>
      </c>
      <c r="I527" t="inlineStr">
        <is>
          <t>Laptop Stand</t>
        </is>
      </c>
      <c r="J527" s="2" t="n">
        <v>2</v>
      </c>
      <c r="K527" s="3" t="n">
        <v>26.94</v>
      </c>
      <c r="L527" s="3" t="n">
        <v>53.88</v>
      </c>
      <c r="M527" s="3" t="n">
        <v>37.67</v>
      </c>
      <c r="N527" s="3" t="n">
        <v>16.21</v>
      </c>
    </row>
    <row r="528">
      <c r="A528" t="inlineStr">
        <is>
          <t>SO-2505-10526</t>
        </is>
      </c>
      <c r="B528" s="1" t="n">
        <v>45806</v>
      </c>
      <c r="C528" t="inlineStr">
        <is>
          <t>Northeast</t>
        </is>
      </c>
      <c r="D528" t="inlineStr">
        <is>
          <t>MA</t>
        </is>
      </c>
      <c r="E528" t="inlineStr">
        <is>
          <t>Boston</t>
        </is>
      </c>
      <c r="F528" t="inlineStr">
        <is>
          <t>Partner</t>
        </is>
      </c>
      <c r="G528" t="inlineStr">
        <is>
          <t>Small Business</t>
        </is>
      </c>
      <c r="H528" t="inlineStr">
        <is>
          <t>Office Supplies</t>
        </is>
      </c>
      <c r="I528" t="inlineStr">
        <is>
          <t>Pens</t>
        </is>
      </c>
      <c r="J528" s="2" t="n">
        <v>3</v>
      </c>
      <c r="K528" s="3" t="n">
        <v>4.02</v>
      </c>
      <c r="L528" s="3" t="n">
        <v>12.06</v>
      </c>
      <c r="M528" s="3" t="n">
        <v>7.7</v>
      </c>
      <c r="N528" s="3" t="n">
        <v>4.36</v>
      </c>
    </row>
    <row r="529">
      <c r="A529" t="inlineStr">
        <is>
          <t>SO-2408-10527</t>
        </is>
      </c>
      <c r="B529" s="1" t="n">
        <v>45534</v>
      </c>
      <c r="C529" t="inlineStr">
        <is>
          <t>South</t>
        </is>
      </c>
      <c r="D529" t="inlineStr">
        <is>
          <t>TN</t>
        </is>
      </c>
      <c r="E529" t="inlineStr">
        <is>
          <t>Nashville</t>
        </is>
      </c>
      <c r="F529" t="inlineStr">
        <is>
          <t>Online</t>
        </is>
      </c>
      <c r="G529" t="inlineStr">
        <is>
          <t>Consumer</t>
        </is>
      </c>
      <c r="H529" t="inlineStr">
        <is>
          <t>Technology</t>
        </is>
      </c>
      <c r="I529" t="inlineStr">
        <is>
          <t>Laptop Stand</t>
        </is>
      </c>
      <c r="J529" s="2" t="n">
        <v>2</v>
      </c>
      <c r="K529" s="3" t="n">
        <v>30.38</v>
      </c>
      <c r="L529" s="3" t="n">
        <v>60.76</v>
      </c>
      <c r="M529" s="3" t="n">
        <v>37.09</v>
      </c>
      <c r="N529" s="3" t="n">
        <v>23.67</v>
      </c>
    </row>
    <row r="530">
      <c r="A530" t="inlineStr">
        <is>
          <t>SO-2511-10528</t>
        </is>
      </c>
      <c r="B530" s="1" t="n">
        <v>45978</v>
      </c>
      <c r="C530" t="inlineStr">
        <is>
          <t>Midwest</t>
        </is>
      </c>
      <c r="D530" t="inlineStr">
        <is>
          <t>OH</t>
        </is>
      </c>
      <c r="E530" t="inlineStr">
        <is>
          <t>Columbus</t>
        </is>
      </c>
      <c r="F530" t="inlineStr">
        <is>
          <t>Online</t>
        </is>
      </c>
      <c r="G530" t="inlineStr">
        <is>
          <t>Corporate</t>
        </is>
      </c>
      <c r="H530" t="inlineStr">
        <is>
          <t>Office Supplies</t>
        </is>
      </c>
      <c r="I530" t="inlineStr">
        <is>
          <t>Stapler</t>
        </is>
      </c>
      <c r="J530" s="2" t="n">
        <v>1</v>
      </c>
      <c r="K530" s="3" t="n">
        <v>13.34</v>
      </c>
      <c r="L530" s="3" t="n">
        <v>13.34</v>
      </c>
      <c r="M530" s="3" t="n">
        <v>8.199999999999999</v>
      </c>
      <c r="N530" s="3" t="n">
        <v>5.14</v>
      </c>
    </row>
    <row r="531">
      <c r="A531" t="inlineStr">
        <is>
          <t>SO-2412-10529</t>
        </is>
      </c>
      <c r="B531" s="1" t="n">
        <v>45638</v>
      </c>
      <c r="C531" t="inlineStr">
        <is>
          <t>Northeast</t>
        </is>
      </c>
      <c r="D531" t="inlineStr">
        <is>
          <t>NY</t>
        </is>
      </c>
      <c r="E531" t="inlineStr">
        <is>
          <t>New York</t>
        </is>
      </c>
      <c r="F531" t="inlineStr">
        <is>
          <t>Partner</t>
        </is>
      </c>
      <c r="G531" t="inlineStr">
        <is>
          <t>Consumer</t>
        </is>
      </c>
      <c r="H531" t="inlineStr">
        <is>
          <t>Furniture</t>
        </is>
      </c>
      <c r="I531" t="inlineStr">
        <is>
          <t>Standing Desk</t>
        </is>
      </c>
      <c r="J531" s="2" t="n">
        <v>2</v>
      </c>
      <c r="K531" s="3" t="n">
        <v>272.83</v>
      </c>
      <c r="L531" s="3" t="n">
        <v>545.66</v>
      </c>
      <c r="M531" s="3" t="n">
        <v>386.47</v>
      </c>
      <c r="N531" s="3" t="n">
        <v>159.19</v>
      </c>
    </row>
    <row r="532">
      <c r="A532" t="inlineStr">
        <is>
          <t>SO-2404-10530</t>
        </is>
      </c>
      <c r="B532" s="1" t="n">
        <v>45400</v>
      </c>
      <c r="C532" t="inlineStr">
        <is>
          <t>West</t>
        </is>
      </c>
      <c r="D532" t="inlineStr">
        <is>
          <t>AZ</t>
        </is>
      </c>
      <c r="E532" t="inlineStr">
        <is>
          <t>Phoenix</t>
        </is>
      </c>
      <c r="F532" t="inlineStr">
        <is>
          <t>Partner</t>
        </is>
      </c>
      <c r="G532" t="inlineStr">
        <is>
          <t>Small Business</t>
        </is>
      </c>
      <c r="H532" t="inlineStr">
        <is>
          <t>Office Supplies</t>
        </is>
      </c>
      <c r="I532" t="inlineStr">
        <is>
          <t>Stapler</t>
        </is>
      </c>
      <c r="J532" s="2" t="n">
        <v>5</v>
      </c>
      <c r="K532" s="3" t="n">
        <v>11.99</v>
      </c>
      <c r="L532" s="3" t="n">
        <v>59.95</v>
      </c>
      <c r="M532" s="3" t="n">
        <v>34.36</v>
      </c>
      <c r="N532" s="3" t="n">
        <v>25.59</v>
      </c>
    </row>
    <row r="533">
      <c r="A533" t="inlineStr">
        <is>
          <t>SO-2510-10531</t>
        </is>
      </c>
      <c r="B533" s="1" t="n">
        <v>45932</v>
      </c>
      <c r="C533" t="inlineStr">
        <is>
          <t>West</t>
        </is>
      </c>
      <c r="D533" t="inlineStr">
        <is>
          <t>WA</t>
        </is>
      </c>
      <c r="E533" t="inlineStr">
        <is>
          <t>Seattle</t>
        </is>
      </c>
      <c r="F533" t="inlineStr">
        <is>
          <t>Online</t>
        </is>
      </c>
      <c r="G533" t="inlineStr">
        <is>
          <t>Corporate</t>
        </is>
      </c>
      <c r="H533" t="inlineStr">
        <is>
          <t>Furniture</t>
        </is>
      </c>
      <c r="I533" t="inlineStr">
        <is>
          <t>Desk Chair</t>
        </is>
      </c>
      <c r="J533" s="2" t="n">
        <v>6</v>
      </c>
      <c r="K533" s="3" t="n">
        <v>129.9</v>
      </c>
      <c r="L533" s="3" t="n">
        <v>779.4</v>
      </c>
      <c r="M533" s="3" t="n">
        <v>550.39</v>
      </c>
      <c r="N533" s="3" t="n">
        <v>229.01</v>
      </c>
    </row>
    <row r="534">
      <c r="A534" t="inlineStr">
        <is>
          <t>SO-2408-10532</t>
        </is>
      </c>
      <c r="B534" s="1" t="n">
        <v>45526</v>
      </c>
      <c r="C534" t="inlineStr">
        <is>
          <t>South</t>
        </is>
      </c>
      <c r="D534" t="inlineStr">
        <is>
          <t>FL</t>
        </is>
      </c>
      <c r="E534" t="inlineStr">
        <is>
          <t>Miami</t>
        </is>
      </c>
      <c r="F534" t="inlineStr">
        <is>
          <t>Partner</t>
        </is>
      </c>
      <c r="G534" t="inlineStr">
        <is>
          <t>Consumer</t>
        </is>
      </c>
      <c r="H534" t="inlineStr">
        <is>
          <t>Office Supplies</t>
        </is>
      </c>
      <c r="I534" t="inlineStr">
        <is>
          <t>Paper</t>
        </is>
      </c>
      <c r="J534" s="2" t="n">
        <v>1</v>
      </c>
      <c r="K534" s="3" t="n">
        <v>7.03</v>
      </c>
      <c r="L534" s="3" t="n">
        <v>7.03</v>
      </c>
      <c r="M534" s="3" t="n">
        <v>4.66</v>
      </c>
      <c r="N534" s="3" t="n">
        <v>2.37</v>
      </c>
    </row>
    <row r="535">
      <c r="A535" t="inlineStr">
        <is>
          <t>SO-2502-10533</t>
        </is>
      </c>
      <c r="B535" s="1" t="n">
        <v>45699</v>
      </c>
      <c r="C535" t="inlineStr">
        <is>
          <t>West</t>
        </is>
      </c>
      <c r="D535" t="inlineStr">
        <is>
          <t>AZ</t>
        </is>
      </c>
      <c r="E535" t="inlineStr">
        <is>
          <t>Phoenix</t>
        </is>
      </c>
      <c r="F535" t="inlineStr">
        <is>
          <t>Online</t>
        </is>
      </c>
      <c r="G535" t="inlineStr">
        <is>
          <t>Consumer</t>
        </is>
      </c>
      <c r="H535" t="inlineStr">
        <is>
          <t>Furniture</t>
        </is>
      </c>
      <c r="I535" t="inlineStr">
        <is>
          <t>Filing Cabinet</t>
        </is>
      </c>
      <c r="J535" s="2" t="n">
        <v>2</v>
      </c>
      <c r="K535" s="3" t="n">
        <v>140.38</v>
      </c>
      <c r="L535" s="3" t="n">
        <v>280.76</v>
      </c>
      <c r="M535" s="3" t="n">
        <v>173.47</v>
      </c>
      <c r="N535" s="3" t="n">
        <v>107.29</v>
      </c>
    </row>
    <row r="536">
      <c r="A536" t="inlineStr">
        <is>
          <t>SO-2408-10534</t>
        </is>
      </c>
      <c r="B536" s="1" t="n">
        <v>45519</v>
      </c>
      <c r="C536" t="inlineStr">
        <is>
          <t>West</t>
        </is>
      </c>
      <c r="D536" t="inlineStr">
        <is>
          <t>CA</t>
        </is>
      </c>
      <c r="E536" t="inlineStr">
        <is>
          <t>Los Angeles</t>
        </is>
      </c>
      <c r="F536" t="inlineStr">
        <is>
          <t>Online</t>
        </is>
      </c>
      <c r="G536" t="inlineStr">
        <is>
          <t>Corporate</t>
        </is>
      </c>
      <c r="H536" t="inlineStr">
        <is>
          <t>Furniture</t>
        </is>
      </c>
      <c r="I536" t="inlineStr">
        <is>
          <t>Bookshelf</t>
        </is>
      </c>
      <c r="J536" s="2" t="n">
        <v>3</v>
      </c>
      <c r="K536" s="3" t="n">
        <v>103.32</v>
      </c>
      <c r="L536" s="3" t="n">
        <v>309.96</v>
      </c>
      <c r="M536" s="3" t="n">
        <v>215.12</v>
      </c>
      <c r="N536" s="3" t="n">
        <v>94.84</v>
      </c>
    </row>
    <row r="537">
      <c r="A537" t="inlineStr">
        <is>
          <t>SO-2510-10535</t>
        </is>
      </c>
      <c r="B537" s="1" t="n">
        <v>45935</v>
      </c>
      <c r="C537" t="inlineStr">
        <is>
          <t>West</t>
        </is>
      </c>
      <c r="D537" t="inlineStr">
        <is>
          <t>CO</t>
        </is>
      </c>
      <c r="E537" t="inlineStr">
        <is>
          <t>Denver</t>
        </is>
      </c>
      <c r="F537" t="inlineStr">
        <is>
          <t>Online</t>
        </is>
      </c>
      <c r="G537" t="inlineStr">
        <is>
          <t>Corporate</t>
        </is>
      </c>
      <c r="H537" t="inlineStr">
        <is>
          <t>Office Supplies</t>
        </is>
      </c>
      <c r="I537" t="inlineStr">
        <is>
          <t>Pens</t>
        </is>
      </c>
      <c r="J537" s="2" t="n">
        <v>3</v>
      </c>
      <c r="K537" s="3" t="n">
        <v>3.93</v>
      </c>
      <c r="L537" s="3" t="n">
        <v>11.79</v>
      </c>
      <c r="M537" s="3" t="n">
        <v>6.59</v>
      </c>
      <c r="N537" s="3" t="n">
        <v>5.2</v>
      </c>
    </row>
    <row r="538">
      <c r="A538" t="inlineStr">
        <is>
          <t>SO-2508-10536</t>
        </is>
      </c>
      <c r="B538" s="1" t="n">
        <v>45895</v>
      </c>
      <c r="C538" t="inlineStr">
        <is>
          <t>West</t>
        </is>
      </c>
      <c r="D538" t="inlineStr">
        <is>
          <t>AZ</t>
        </is>
      </c>
      <c r="E538" t="inlineStr">
        <is>
          <t>Phoenix</t>
        </is>
      </c>
      <c r="F538" t="inlineStr">
        <is>
          <t>In-Store</t>
        </is>
      </c>
      <c r="G538" t="inlineStr">
        <is>
          <t>Consumer</t>
        </is>
      </c>
      <c r="H538" t="inlineStr">
        <is>
          <t>Office Supplies</t>
        </is>
      </c>
      <c r="I538" t="inlineStr">
        <is>
          <t>Paper</t>
        </is>
      </c>
      <c r="J538" s="2" t="n">
        <v>2</v>
      </c>
      <c r="K538" s="3" t="n">
        <v>7.35</v>
      </c>
      <c r="L538" s="3" t="n">
        <v>14.7</v>
      </c>
      <c r="M538" s="3" t="n">
        <v>9.18</v>
      </c>
      <c r="N538" s="3" t="n">
        <v>5.52</v>
      </c>
    </row>
    <row r="539">
      <c r="A539" t="inlineStr">
        <is>
          <t>SO-2402-10537</t>
        </is>
      </c>
      <c r="B539" s="1" t="n">
        <v>45338</v>
      </c>
      <c r="C539" t="inlineStr">
        <is>
          <t>Northeast</t>
        </is>
      </c>
      <c r="D539" t="inlineStr">
        <is>
          <t>NY</t>
        </is>
      </c>
      <c r="E539" t="inlineStr">
        <is>
          <t>New York</t>
        </is>
      </c>
      <c r="F539" t="inlineStr">
        <is>
          <t>Partner</t>
        </is>
      </c>
      <c r="G539" t="inlineStr">
        <is>
          <t>Consumer</t>
        </is>
      </c>
      <c r="H539" t="inlineStr">
        <is>
          <t>Technology</t>
        </is>
      </c>
      <c r="I539" t="inlineStr">
        <is>
          <t>Laptop Stand</t>
        </is>
      </c>
      <c r="J539" s="2" t="n">
        <v>2</v>
      </c>
      <c r="K539" s="3" t="n">
        <v>26.63</v>
      </c>
      <c r="L539" s="3" t="n">
        <v>53.26</v>
      </c>
      <c r="M539" s="3" t="n">
        <v>38.64</v>
      </c>
      <c r="N539" s="3" t="n">
        <v>14.62</v>
      </c>
    </row>
    <row r="540">
      <c r="A540" t="inlineStr">
        <is>
          <t>SO-2501-10538</t>
        </is>
      </c>
      <c r="B540" s="1" t="n">
        <v>45667</v>
      </c>
      <c r="C540" t="inlineStr">
        <is>
          <t>South</t>
        </is>
      </c>
      <c r="D540" t="inlineStr">
        <is>
          <t>FL</t>
        </is>
      </c>
      <c r="E540" t="inlineStr">
        <is>
          <t>Miami</t>
        </is>
      </c>
      <c r="F540" t="inlineStr">
        <is>
          <t>In-Store</t>
        </is>
      </c>
      <c r="G540" t="inlineStr">
        <is>
          <t>Small Business</t>
        </is>
      </c>
      <c r="H540" t="inlineStr">
        <is>
          <t>Office Supplies</t>
        </is>
      </c>
      <c r="I540" t="inlineStr">
        <is>
          <t>Paper</t>
        </is>
      </c>
      <c r="J540" s="2" t="n">
        <v>2</v>
      </c>
      <c r="K540" s="3" t="n">
        <v>6.4</v>
      </c>
      <c r="L540" s="3" t="n">
        <v>12.8</v>
      </c>
      <c r="M540" s="3" t="n">
        <v>8.859999999999999</v>
      </c>
      <c r="N540" s="3" t="n">
        <v>3.94</v>
      </c>
    </row>
    <row r="541">
      <c r="A541" t="inlineStr">
        <is>
          <t>SO-2408-10539</t>
        </is>
      </c>
      <c r="B541" s="1" t="n">
        <v>45532</v>
      </c>
      <c r="C541" t="inlineStr">
        <is>
          <t>Midwest</t>
        </is>
      </c>
      <c r="D541" t="inlineStr">
        <is>
          <t>OH</t>
        </is>
      </c>
      <c r="E541" t="inlineStr">
        <is>
          <t>Columbus</t>
        </is>
      </c>
      <c r="F541" t="inlineStr">
        <is>
          <t>Partner</t>
        </is>
      </c>
      <c r="G541" t="inlineStr">
        <is>
          <t>Consumer</t>
        </is>
      </c>
      <c r="H541" t="inlineStr">
        <is>
          <t>Technology</t>
        </is>
      </c>
      <c r="I541" t="inlineStr">
        <is>
          <t>Laptop Stand</t>
        </is>
      </c>
      <c r="J541" s="2" t="n">
        <v>3</v>
      </c>
      <c r="K541" s="3" t="n">
        <v>27.11</v>
      </c>
      <c r="L541" s="3" t="n">
        <v>81.33</v>
      </c>
      <c r="M541" s="3" t="n">
        <v>56.76</v>
      </c>
      <c r="N541" s="3" t="n">
        <v>24.57</v>
      </c>
    </row>
    <row r="542">
      <c r="A542" t="inlineStr">
        <is>
          <t>SO-2403-10540</t>
        </is>
      </c>
      <c r="B542" s="1" t="n">
        <v>45378</v>
      </c>
      <c r="C542" t="inlineStr">
        <is>
          <t>Midwest</t>
        </is>
      </c>
      <c r="D542" t="inlineStr">
        <is>
          <t>IL</t>
        </is>
      </c>
      <c r="E542" t="inlineStr">
        <is>
          <t>Chicago</t>
        </is>
      </c>
      <c r="F542" t="inlineStr">
        <is>
          <t>In-Store</t>
        </is>
      </c>
      <c r="G542" t="inlineStr">
        <is>
          <t>Small Business</t>
        </is>
      </c>
      <c r="H542" t="inlineStr">
        <is>
          <t>Office Supplies</t>
        </is>
      </c>
      <c r="I542" t="inlineStr">
        <is>
          <t>Stapler</t>
        </is>
      </c>
      <c r="J542" s="2" t="n">
        <v>2</v>
      </c>
      <c r="K542" s="3" t="n">
        <v>11.4</v>
      </c>
      <c r="L542" s="3" t="n">
        <v>22.8</v>
      </c>
      <c r="M542" s="3" t="n">
        <v>13.3</v>
      </c>
      <c r="N542" s="3" t="n">
        <v>9.5</v>
      </c>
    </row>
    <row r="543">
      <c r="A543" t="inlineStr">
        <is>
          <t>SO-2412-10541</t>
        </is>
      </c>
      <c r="B543" s="1" t="n">
        <v>45655</v>
      </c>
      <c r="C543" t="inlineStr">
        <is>
          <t>Midwest</t>
        </is>
      </c>
      <c r="D543" t="inlineStr">
        <is>
          <t>MN</t>
        </is>
      </c>
      <c r="E543" t="inlineStr">
        <is>
          <t>Minneapolis</t>
        </is>
      </c>
      <c r="F543" t="inlineStr">
        <is>
          <t>Partner</t>
        </is>
      </c>
      <c r="G543" t="inlineStr">
        <is>
          <t>Small Business</t>
        </is>
      </c>
      <c r="H543" t="inlineStr">
        <is>
          <t>Furniture</t>
        </is>
      </c>
      <c r="I543" t="inlineStr">
        <is>
          <t>Standing Desk</t>
        </is>
      </c>
      <c r="J543" s="2" t="n">
        <v>3</v>
      </c>
      <c r="K543" s="3" t="n">
        <v>282.99</v>
      </c>
      <c r="L543" s="3" t="n">
        <v>848.97</v>
      </c>
      <c r="M543" s="3" t="n">
        <v>510.64</v>
      </c>
      <c r="N543" s="3" t="n">
        <v>338.33</v>
      </c>
    </row>
    <row r="544">
      <c r="A544" t="inlineStr">
        <is>
          <t>SO-2506-10542</t>
        </is>
      </c>
      <c r="B544" s="1" t="n">
        <v>45836</v>
      </c>
      <c r="C544" t="inlineStr">
        <is>
          <t>Northeast</t>
        </is>
      </c>
      <c r="D544" t="inlineStr">
        <is>
          <t>PA</t>
        </is>
      </c>
      <c r="E544" t="inlineStr">
        <is>
          <t>Philadelphia</t>
        </is>
      </c>
      <c r="F544" t="inlineStr">
        <is>
          <t>In-Store</t>
        </is>
      </c>
      <c r="G544" t="inlineStr">
        <is>
          <t>Corporate</t>
        </is>
      </c>
      <c r="H544" t="inlineStr">
        <is>
          <t>Furniture</t>
        </is>
      </c>
      <c r="I544" t="inlineStr">
        <is>
          <t>Standing Desk</t>
        </is>
      </c>
      <c r="J544" s="2" t="n">
        <v>8</v>
      </c>
      <c r="K544" s="3" t="n">
        <v>300.34</v>
      </c>
      <c r="L544" s="3" t="n">
        <v>2402.72</v>
      </c>
      <c r="M544" s="3" t="n">
        <v>1469.32</v>
      </c>
      <c r="N544" s="3" t="n">
        <v>933.4</v>
      </c>
    </row>
    <row r="545">
      <c r="A545" t="inlineStr">
        <is>
          <t>SO-2410-10543</t>
        </is>
      </c>
      <c r="B545" s="1" t="n">
        <v>45589</v>
      </c>
      <c r="C545" t="inlineStr">
        <is>
          <t>South</t>
        </is>
      </c>
      <c r="D545" t="inlineStr">
        <is>
          <t>TN</t>
        </is>
      </c>
      <c r="E545" t="inlineStr">
        <is>
          <t>Nashville</t>
        </is>
      </c>
      <c r="F545" t="inlineStr">
        <is>
          <t>In-Store</t>
        </is>
      </c>
      <c r="G545" t="inlineStr">
        <is>
          <t>Corporate</t>
        </is>
      </c>
      <c r="H545" t="inlineStr">
        <is>
          <t>Technology</t>
        </is>
      </c>
      <c r="I545" t="inlineStr">
        <is>
          <t>Laptop Stand</t>
        </is>
      </c>
      <c r="J545" s="2" t="n">
        <v>2</v>
      </c>
      <c r="K545" s="3" t="n">
        <v>27.73</v>
      </c>
      <c r="L545" s="3" t="n">
        <v>55.46</v>
      </c>
      <c r="M545" s="3" t="n">
        <v>38.38</v>
      </c>
      <c r="N545" s="3" t="n">
        <v>17.08</v>
      </c>
    </row>
    <row r="546">
      <c r="A546" t="inlineStr">
        <is>
          <t>SO-2411-10544</t>
        </is>
      </c>
      <c r="B546" s="1" t="n">
        <v>45605</v>
      </c>
      <c r="C546" t="inlineStr">
        <is>
          <t>South</t>
        </is>
      </c>
      <c r="D546" t="inlineStr">
        <is>
          <t>FL</t>
        </is>
      </c>
      <c r="E546" t="inlineStr">
        <is>
          <t>Miami</t>
        </is>
      </c>
      <c r="F546" t="inlineStr">
        <is>
          <t>In-Store</t>
        </is>
      </c>
      <c r="G546" t="inlineStr">
        <is>
          <t>Corporate</t>
        </is>
      </c>
      <c r="H546" t="inlineStr">
        <is>
          <t>Technology</t>
        </is>
      </c>
      <c r="I546" t="inlineStr">
        <is>
          <t>Monitor</t>
        </is>
      </c>
      <c r="J546" s="2" t="n">
        <v>4</v>
      </c>
      <c r="K546" s="3" t="n">
        <v>192.47</v>
      </c>
      <c r="L546" s="3" t="n">
        <v>769.88</v>
      </c>
      <c r="M546" s="3" t="n">
        <v>524.5700000000001</v>
      </c>
      <c r="N546" s="3" t="n">
        <v>245.31</v>
      </c>
    </row>
    <row r="547">
      <c r="A547" t="inlineStr">
        <is>
          <t>SO-2409-10545</t>
        </is>
      </c>
      <c r="B547" s="1" t="n">
        <v>45553</v>
      </c>
      <c r="C547" t="inlineStr">
        <is>
          <t>South</t>
        </is>
      </c>
      <c r="D547" t="inlineStr">
        <is>
          <t>FL</t>
        </is>
      </c>
      <c r="E547" t="inlineStr">
        <is>
          <t>Miami</t>
        </is>
      </c>
      <c r="F547" t="inlineStr">
        <is>
          <t>Partner</t>
        </is>
      </c>
      <c r="G547" t="inlineStr">
        <is>
          <t>Corporate</t>
        </is>
      </c>
      <c r="H547" t="inlineStr">
        <is>
          <t>Furniture</t>
        </is>
      </c>
      <c r="I547" t="inlineStr">
        <is>
          <t>Standing Desk</t>
        </is>
      </c>
      <c r="J547" s="2" t="n">
        <v>3</v>
      </c>
      <c r="K547" s="3" t="n">
        <v>329.33</v>
      </c>
      <c r="L547" s="3" t="n">
        <v>987.99</v>
      </c>
      <c r="M547" s="3" t="n">
        <v>696.49</v>
      </c>
      <c r="N547" s="3" t="n">
        <v>291.5</v>
      </c>
    </row>
    <row r="548">
      <c r="A548" t="inlineStr">
        <is>
          <t>SO-2511-10546</t>
        </is>
      </c>
      <c r="B548" s="1" t="n">
        <v>45978</v>
      </c>
      <c r="C548" t="inlineStr">
        <is>
          <t>South</t>
        </is>
      </c>
      <c r="D548" t="inlineStr">
        <is>
          <t>FL</t>
        </is>
      </c>
      <c r="E548" t="inlineStr">
        <is>
          <t>Miami</t>
        </is>
      </c>
      <c r="F548" t="inlineStr">
        <is>
          <t>In-Store</t>
        </is>
      </c>
      <c r="G548" t="inlineStr">
        <is>
          <t>Consumer</t>
        </is>
      </c>
      <c r="H548" t="inlineStr">
        <is>
          <t>Furniture</t>
        </is>
      </c>
      <c r="I548" t="inlineStr">
        <is>
          <t>Desk Chair</t>
        </is>
      </c>
      <c r="J548" s="2" t="n">
        <v>1</v>
      </c>
      <c r="K548" s="3" t="n">
        <v>123.82</v>
      </c>
      <c r="L548" s="3" t="n">
        <v>123.82</v>
      </c>
      <c r="M548" s="3" t="n">
        <v>84.62</v>
      </c>
      <c r="N548" s="3" t="n">
        <v>39.2</v>
      </c>
    </row>
    <row r="549">
      <c r="A549" t="inlineStr">
        <is>
          <t>SO-2407-10547</t>
        </is>
      </c>
      <c r="B549" s="1" t="n">
        <v>45493</v>
      </c>
      <c r="C549" t="inlineStr">
        <is>
          <t>Midwest</t>
        </is>
      </c>
      <c r="D549" t="inlineStr">
        <is>
          <t>MI</t>
        </is>
      </c>
      <c r="E549" t="inlineStr">
        <is>
          <t>Detroit</t>
        </is>
      </c>
      <c r="F549" t="inlineStr">
        <is>
          <t>In-Store</t>
        </is>
      </c>
      <c r="G549" t="inlineStr">
        <is>
          <t>Corporate</t>
        </is>
      </c>
      <c r="H549" t="inlineStr">
        <is>
          <t>Technology</t>
        </is>
      </c>
      <c r="I549" t="inlineStr">
        <is>
          <t>Mouse</t>
        </is>
      </c>
      <c r="J549" s="2" t="n">
        <v>4</v>
      </c>
      <c r="K549" s="3" t="n">
        <v>21.31</v>
      </c>
      <c r="L549" s="3" t="n">
        <v>85.23999999999999</v>
      </c>
      <c r="M549" s="3" t="n">
        <v>54</v>
      </c>
      <c r="N549" s="3" t="n">
        <v>31.24</v>
      </c>
    </row>
    <row r="550">
      <c r="A550" t="inlineStr">
        <is>
          <t>SO-2510-10548</t>
        </is>
      </c>
      <c r="B550" s="1" t="n">
        <v>45948</v>
      </c>
      <c r="C550" t="inlineStr">
        <is>
          <t>South</t>
        </is>
      </c>
      <c r="D550" t="inlineStr">
        <is>
          <t>AL</t>
        </is>
      </c>
      <c r="E550" t="inlineStr">
        <is>
          <t>Birmingham</t>
        </is>
      </c>
      <c r="F550" t="inlineStr">
        <is>
          <t>Online</t>
        </is>
      </c>
      <c r="G550" t="inlineStr">
        <is>
          <t>Small Business</t>
        </is>
      </c>
      <c r="H550" t="inlineStr">
        <is>
          <t>Technology</t>
        </is>
      </c>
      <c r="I550" t="inlineStr">
        <is>
          <t>Laptop Stand</t>
        </is>
      </c>
      <c r="J550" s="2" t="n">
        <v>1</v>
      </c>
      <c r="K550" s="3" t="n">
        <v>33.3</v>
      </c>
      <c r="L550" s="3" t="n">
        <v>33.3</v>
      </c>
      <c r="M550" s="3" t="n">
        <v>22.5</v>
      </c>
      <c r="N550" s="3" t="n">
        <v>10.8</v>
      </c>
    </row>
    <row r="551">
      <c r="A551" t="inlineStr">
        <is>
          <t>SO-2402-10549</t>
        </is>
      </c>
      <c r="B551" s="1" t="n">
        <v>45347</v>
      </c>
      <c r="C551" t="inlineStr">
        <is>
          <t>Northeast</t>
        </is>
      </c>
      <c r="D551" t="inlineStr">
        <is>
          <t>PA</t>
        </is>
      </c>
      <c r="E551" t="inlineStr">
        <is>
          <t>Philadelphia</t>
        </is>
      </c>
      <c r="F551" t="inlineStr">
        <is>
          <t>In-Store</t>
        </is>
      </c>
      <c r="G551" t="inlineStr">
        <is>
          <t>Corporate</t>
        </is>
      </c>
      <c r="H551" t="inlineStr">
        <is>
          <t>Technology</t>
        </is>
      </c>
      <c r="I551" t="inlineStr">
        <is>
          <t>Mouse</t>
        </is>
      </c>
      <c r="J551" s="2" t="n">
        <v>1</v>
      </c>
      <c r="K551" s="3" t="n">
        <v>22.52</v>
      </c>
      <c r="L551" s="3" t="n">
        <v>22.52</v>
      </c>
      <c r="M551" s="3" t="n">
        <v>14.86</v>
      </c>
      <c r="N551" s="3" t="n">
        <v>7.66</v>
      </c>
    </row>
    <row r="552">
      <c r="A552" t="inlineStr">
        <is>
          <t>SO-2409-10550</t>
        </is>
      </c>
      <c r="B552" s="1" t="n">
        <v>45553</v>
      </c>
      <c r="C552" t="inlineStr">
        <is>
          <t>Northeast</t>
        </is>
      </c>
      <c r="D552" t="inlineStr">
        <is>
          <t>MA</t>
        </is>
      </c>
      <c r="E552" t="inlineStr">
        <is>
          <t>Boston</t>
        </is>
      </c>
      <c r="F552" t="inlineStr">
        <is>
          <t>Online</t>
        </is>
      </c>
      <c r="G552" t="inlineStr">
        <is>
          <t>Corporate</t>
        </is>
      </c>
      <c r="H552" t="inlineStr">
        <is>
          <t>Technology</t>
        </is>
      </c>
      <c r="I552" t="inlineStr">
        <is>
          <t>Mouse</t>
        </is>
      </c>
      <c r="J552" s="2" t="n">
        <v>6</v>
      </c>
      <c r="K552" s="3" t="n">
        <v>17.66</v>
      </c>
      <c r="L552" s="3" t="n">
        <v>105.96</v>
      </c>
      <c r="M552" s="3" t="n">
        <v>73.31</v>
      </c>
      <c r="N552" s="3" t="n">
        <v>32.65</v>
      </c>
    </row>
    <row r="553">
      <c r="A553" t="inlineStr">
        <is>
          <t>SO-2402-10551</t>
        </is>
      </c>
      <c r="B553" s="1" t="n">
        <v>45327</v>
      </c>
      <c r="C553" t="inlineStr">
        <is>
          <t>West</t>
        </is>
      </c>
      <c r="D553" t="inlineStr">
        <is>
          <t>WA</t>
        </is>
      </c>
      <c r="E553" t="inlineStr">
        <is>
          <t>Seattle</t>
        </is>
      </c>
      <c r="F553" t="inlineStr">
        <is>
          <t>Partner</t>
        </is>
      </c>
      <c r="G553" t="inlineStr">
        <is>
          <t>Small Business</t>
        </is>
      </c>
      <c r="H553" t="inlineStr">
        <is>
          <t>Technology</t>
        </is>
      </c>
      <c r="I553" t="inlineStr">
        <is>
          <t>Mouse</t>
        </is>
      </c>
      <c r="J553" s="2" t="n">
        <v>3</v>
      </c>
      <c r="K553" s="3" t="n">
        <v>21.4</v>
      </c>
      <c r="L553" s="3" t="n">
        <v>64.2</v>
      </c>
      <c r="M553" s="3" t="n">
        <v>42.23</v>
      </c>
      <c r="N553" s="3" t="n">
        <v>21.97</v>
      </c>
    </row>
    <row r="554">
      <c r="A554" t="inlineStr">
        <is>
          <t>SO-2408-10552</t>
        </is>
      </c>
      <c r="B554" s="1" t="n">
        <v>45530</v>
      </c>
      <c r="C554" t="inlineStr">
        <is>
          <t>Northeast</t>
        </is>
      </c>
      <c r="D554" t="inlineStr">
        <is>
          <t>MA</t>
        </is>
      </c>
      <c r="E554" t="inlineStr">
        <is>
          <t>Boston</t>
        </is>
      </c>
      <c r="F554" t="inlineStr">
        <is>
          <t>In-Store</t>
        </is>
      </c>
      <c r="G554" t="inlineStr">
        <is>
          <t>Small Business</t>
        </is>
      </c>
      <c r="H554" t="inlineStr">
        <is>
          <t>Office Supplies</t>
        </is>
      </c>
      <c r="I554" t="inlineStr">
        <is>
          <t>Pens</t>
        </is>
      </c>
      <c r="J554" s="2" t="n">
        <v>1</v>
      </c>
      <c r="K554" s="3" t="n">
        <v>4.21</v>
      </c>
      <c r="L554" s="3" t="n">
        <v>4.21</v>
      </c>
      <c r="M554" s="3" t="n">
        <v>2.44</v>
      </c>
      <c r="N554" s="3" t="n">
        <v>1.77</v>
      </c>
    </row>
    <row r="555">
      <c r="A555" t="inlineStr">
        <is>
          <t>SO-2408-10553</t>
        </is>
      </c>
      <c r="B555" s="1" t="n">
        <v>45535</v>
      </c>
      <c r="C555" t="inlineStr">
        <is>
          <t>Midwest</t>
        </is>
      </c>
      <c r="D555" t="inlineStr">
        <is>
          <t>IL</t>
        </is>
      </c>
      <c r="E555" t="inlineStr">
        <is>
          <t>Chicago</t>
        </is>
      </c>
      <c r="F555" t="inlineStr">
        <is>
          <t>Online</t>
        </is>
      </c>
      <c r="G555" t="inlineStr">
        <is>
          <t>Corporate</t>
        </is>
      </c>
      <c r="H555" t="inlineStr">
        <is>
          <t>Office Supplies</t>
        </is>
      </c>
      <c r="I555" t="inlineStr">
        <is>
          <t>Binders</t>
        </is>
      </c>
      <c r="J555" s="2" t="n">
        <v>2</v>
      </c>
      <c r="K555" s="3" t="n">
        <v>10.04</v>
      </c>
      <c r="L555" s="3" t="n">
        <v>20.08</v>
      </c>
      <c r="M555" s="3" t="n">
        <v>13.61</v>
      </c>
      <c r="N555" s="3" t="n">
        <v>6.47</v>
      </c>
    </row>
    <row r="556">
      <c r="A556" t="inlineStr">
        <is>
          <t>SO-2503-10554</t>
        </is>
      </c>
      <c r="B556" s="1" t="n">
        <v>45724</v>
      </c>
      <c r="C556" t="inlineStr">
        <is>
          <t>Midwest</t>
        </is>
      </c>
      <c r="D556" t="inlineStr">
        <is>
          <t>MN</t>
        </is>
      </c>
      <c r="E556" t="inlineStr">
        <is>
          <t>Minneapolis</t>
        </is>
      </c>
      <c r="F556" t="inlineStr">
        <is>
          <t>Online</t>
        </is>
      </c>
      <c r="G556" t="inlineStr">
        <is>
          <t>Corporate</t>
        </is>
      </c>
      <c r="H556" t="inlineStr">
        <is>
          <t>Technology</t>
        </is>
      </c>
      <c r="I556" t="inlineStr">
        <is>
          <t>Mouse</t>
        </is>
      </c>
      <c r="J556" s="2" t="n">
        <v>4</v>
      </c>
      <c r="K556" s="3" t="n">
        <v>22.4</v>
      </c>
      <c r="L556" s="3" t="n">
        <v>89.59999999999999</v>
      </c>
      <c r="M556" s="3" t="n">
        <v>69.67</v>
      </c>
      <c r="N556" s="3" t="n">
        <v>19.93</v>
      </c>
    </row>
    <row r="557">
      <c r="A557" t="inlineStr">
        <is>
          <t>SO-2505-10555</t>
        </is>
      </c>
      <c r="B557" s="1" t="n">
        <v>45782</v>
      </c>
      <c r="C557" t="inlineStr">
        <is>
          <t>Northeast</t>
        </is>
      </c>
      <c r="D557" t="inlineStr">
        <is>
          <t>NJ</t>
        </is>
      </c>
      <c r="E557" t="inlineStr">
        <is>
          <t>Newark</t>
        </is>
      </c>
      <c r="F557" t="inlineStr">
        <is>
          <t>In-Store</t>
        </is>
      </c>
      <c r="G557" t="inlineStr">
        <is>
          <t>Consumer</t>
        </is>
      </c>
      <c r="H557" t="inlineStr">
        <is>
          <t>Furniture</t>
        </is>
      </c>
      <c r="I557" t="inlineStr">
        <is>
          <t>Desk Chair</t>
        </is>
      </c>
      <c r="J557" s="2" t="n">
        <v>2</v>
      </c>
      <c r="K557" s="3" t="n">
        <v>130.76</v>
      </c>
      <c r="L557" s="3" t="n">
        <v>261.52</v>
      </c>
      <c r="M557" s="3" t="n">
        <v>172.55</v>
      </c>
      <c r="N557" s="3" t="n">
        <v>88.97</v>
      </c>
    </row>
    <row r="558">
      <c r="A558" t="inlineStr">
        <is>
          <t>SO-2501-10556</t>
        </is>
      </c>
      <c r="B558" s="1" t="n">
        <v>45688</v>
      </c>
      <c r="C558" t="inlineStr">
        <is>
          <t>South</t>
        </is>
      </c>
      <c r="D558" t="inlineStr">
        <is>
          <t>TN</t>
        </is>
      </c>
      <c r="E558" t="inlineStr">
        <is>
          <t>Nashville</t>
        </is>
      </c>
      <c r="F558" t="inlineStr">
        <is>
          <t>Online</t>
        </is>
      </c>
      <c r="G558" t="inlineStr">
        <is>
          <t>Consumer</t>
        </is>
      </c>
      <c r="H558" t="inlineStr">
        <is>
          <t>Technology</t>
        </is>
      </c>
      <c r="I558" t="inlineStr">
        <is>
          <t>Keyboard</t>
        </is>
      </c>
      <c r="J558" s="2" t="n">
        <v>3</v>
      </c>
      <c r="K558" s="3" t="n">
        <v>41.18</v>
      </c>
      <c r="L558" s="3" t="n">
        <v>123.54</v>
      </c>
      <c r="M558" s="3" t="n">
        <v>87.45</v>
      </c>
      <c r="N558" s="3" t="n">
        <v>36.09</v>
      </c>
    </row>
    <row r="559">
      <c r="A559" t="inlineStr">
        <is>
          <t>SO-2404-10557</t>
        </is>
      </c>
      <c r="B559" s="1" t="n">
        <v>45385</v>
      </c>
      <c r="C559" t="inlineStr">
        <is>
          <t>Midwest</t>
        </is>
      </c>
      <c r="D559" t="inlineStr">
        <is>
          <t>MN</t>
        </is>
      </c>
      <c r="E559" t="inlineStr">
        <is>
          <t>Minneapolis</t>
        </is>
      </c>
      <c r="F559" t="inlineStr">
        <is>
          <t>Online</t>
        </is>
      </c>
      <c r="G559" t="inlineStr">
        <is>
          <t>Corporate</t>
        </is>
      </c>
      <c r="H559" t="inlineStr">
        <is>
          <t>Office Supplies</t>
        </is>
      </c>
      <c r="I559" t="inlineStr">
        <is>
          <t>Binders</t>
        </is>
      </c>
      <c r="J559" s="2" t="n">
        <v>2</v>
      </c>
      <c r="K559" s="3" t="n">
        <v>9.880000000000001</v>
      </c>
      <c r="L559" s="3" t="n">
        <v>19.76</v>
      </c>
      <c r="M559" s="3" t="n">
        <v>11.5</v>
      </c>
      <c r="N559" s="3" t="n">
        <v>8.26</v>
      </c>
    </row>
    <row r="560">
      <c r="A560" t="inlineStr">
        <is>
          <t>SO-2406-10558</t>
        </is>
      </c>
      <c r="B560" s="1" t="n">
        <v>45465</v>
      </c>
      <c r="C560" t="inlineStr">
        <is>
          <t>South</t>
        </is>
      </c>
      <c r="D560" t="inlineStr">
        <is>
          <t>TN</t>
        </is>
      </c>
      <c r="E560" t="inlineStr">
        <is>
          <t>Nashville</t>
        </is>
      </c>
      <c r="F560" t="inlineStr">
        <is>
          <t>Online</t>
        </is>
      </c>
      <c r="G560" t="inlineStr">
        <is>
          <t>Small Business</t>
        </is>
      </c>
      <c r="H560" t="inlineStr">
        <is>
          <t>Technology</t>
        </is>
      </c>
      <c r="I560" t="inlineStr">
        <is>
          <t>Laptop Stand</t>
        </is>
      </c>
      <c r="J560" s="2" t="n">
        <v>4</v>
      </c>
      <c r="K560" s="3" t="n">
        <v>28.09</v>
      </c>
      <c r="L560" s="3" t="n">
        <v>112.36</v>
      </c>
      <c r="M560" s="3" t="n">
        <v>77.84999999999999</v>
      </c>
      <c r="N560" s="3" t="n">
        <v>34.51</v>
      </c>
    </row>
    <row r="561">
      <c r="A561" t="inlineStr">
        <is>
          <t>SO-2412-10559</t>
        </is>
      </c>
      <c r="B561" s="1" t="n">
        <v>45635</v>
      </c>
      <c r="C561" t="inlineStr">
        <is>
          <t>West</t>
        </is>
      </c>
      <c r="D561" t="inlineStr">
        <is>
          <t>CA</t>
        </is>
      </c>
      <c r="E561" t="inlineStr">
        <is>
          <t>Los Angeles</t>
        </is>
      </c>
      <c r="F561" t="inlineStr">
        <is>
          <t>Partner</t>
        </is>
      </c>
      <c r="G561" t="inlineStr">
        <is>
          <t>Small Business</t>
        </is>
      </c>
      <c r="H561" t="inlineStr">
        <is>
          <t>Technology</t>
        </is>
      </c>
      <c r="I561" t="inlineStr">
        <is>
          <t>Monitor</t>
        </is>
      </c>
      <c r="J561" s="2" t="n">
        <v>2</v>
      </c>
      <c r="K561" s="3" t="n">
        <v>199.49</v>
      </c>
      <c r="L561" s="3" t="n">
        <v>398.98</v>
      </c>
      <c r="M561" s="3" t="n">
        <v>302.41</v>
      </c>
      <c r="N561" s="3" t="n">
        <v>96.56999999999999</v>
      </c>
    </row>
    <row r="562">
      <c r="A562" t="inlineStr">
        <is>
          <t>SO-2405-10560</t>
        </is>
      </c>
      <c r="B562" s="1" t="n">
        <v>45432</v>
      </c>
      <c r="C562" t="inlineStr">
        <is>
          <t>Midwest</t>
        </is>
      </c>
      <c r="D562" t="inlineStr">
        <is>
          <t>MI</t>
        </is>
      </c>
      <c r="E562" t="inlineStr">
        <is>
          <t>Detroit</t>
        </is>
      </c>
      <c r="F562" t="inlineStr">
        <is>
          <t>In-Store</t>
        </is>
      </c>
      <c r="G562" t="inlineStr">
        <is>
          <t>Small Business</t>
        </is>
      </c>
      <c r="H562" t="inlineStr">
        <is>
          <t>Office Supplies</t>
        </is>
      </c>
      <c r="I562" t="inlineStr">
        <is>
          <t>Binders</t>
        </is>
      </c>
      <c r="J562" s="2" t="n">
        <v>5</v>
      </c>
      <c r="K562" s="3" t="n">
        <v>11.02</v>
      </c>
      <c r="L562" s="3" t="n">
        <v>55.1</v>
      </c>
      <c r="M562" s="3" t="n">
        <v>33.33</v>
      </c>
      <c r="N562" s="3" t="n">
        <v>21.77</v>
      </c>
    </row>
    <row r="563">
      <c r="A563" t="inlineStr">
        <is>
          <t>SO-2511-10561</t>
        </is>
      </c>
      <c r="B563" s="1" t="n">
        <v>45970</v>
      </c>
      <c r="C563" t="inlineStr">
        <is>
          <t>South</t>
        </is>
      </c>
      <c r="D563" t="inlineStr">
        <is>
          <t>FL</t>
        </is>
      </c>
      <c r="E563" t="inlineStr">
        <is>
          <t>Miami</t>
        </is>
      </c>
      <c r="F563" t="inlineStr">
        <is>
          <t>Online</t>
        </is>
      </c>
      <c r="G563" t="inlineStr">
        <is>
          <t>Small Business</t>
        </is>
      </c>
      <c r="H563" t="inlineStr">
        <is>
          <t>Office Supplies</t>
        </is>
      </c>
      <c r="I563" t="inlineStr">
        <is>
          <t>Stapler</t>
        </is>
      </c>
      <c r="J563" s="2" t="n">
        <v>3</v>
      </c>
      <c r="K563" s="3" t="n">
        <v>11.13</v>
      </c>
      <c r="L563" s="3" t="n">
        <v>33.39</v>
      </c>
      <c r="M563" s="3" t="n">
        <v>22.86</v>
      </c>
      <c r="N563" s="3" t="n">
        <v>10.53</v>
      </c>
    </row>
    <row r="564">
      <c r="A564" t="inlineStr">
        <is>
          <t>SO-2501-10562</t>
        </is>
      </c>
      <c r="B564" s="1" t="n">
        <v>45675</v>
      </c>
      <c r="C564" t="inlineStr">
        <is>
          <t>West</t>
        </is>
      </c>
      <c r="D564" t="inlineStr">
        <is>
          <t>AZ</t>
        </is>
      </c>
      <c r="E564" t="inlineStr">
        <is>
          <t>Phoenix</t>
        </is>
      </c>
      <c r="F564" t="inlineStr">
        <is>
          <t>Partner</t>
        </is>
      </c>
      <c r="G564" t="inlineStr">
        <is>
          <t>Consumer</t>
        </is>
      </c>
      <c r="H564" t="inlineStr">
        <is>
          <t>Technology</t>
        </is>
      </c>
      <c r="I564" t="inlineStr">
        <is>
          <t>Monitor</t>
        </is>
      </c>
      <c r="J564" s="2" t="n">
        <v>5</v>
      </c>
      <c r="K564" s="3" t="n">
        <v>165.56</v>
      </c>
      <c r="L564" s="3" t="n">
        <v>827.8</v>
      </c>
      <c r="M564" s="3" t="n">
        <v>564.8099999999999</v>
      </c>
      <c r="N564" s="3" t="n">
        <v>262.99</v>
      </c>
    </row>
    <row r="565">
      <c r="A565" t="inlineStr">
        <is>
          <t>SO-2407-10563</t>
        </is>
      </c>
      <c r="B565" s="1" t="n">
        <v>45494</v>
      </c>
      <c r="C565" t="inlineStr">
        <is>
          <t>South</t>
        </is>
      </c>
      <c r="D565" t="inlineStr">
        <is>
          <t>TN</t>
        </is>
      </c>
      <c r="E565" t="inlineStr">
        <is>
          <t>Nashville</t>
        </is>
      </c>
      <c r="F565" t="inlineStr">
        <is>
          <t>Partner</t>
        </is>
      </c>
      <c r="G565" t="inlineStr">
        <is>
          <t>Consumer</t>
        </is>
      </c>
      <c r="H565" t="inlineStr">
        <is>
          <t>Office Supplies</t>
        </is>
      </c>
      <c r="I565" t="inlineStr">
        <is>
          <t>Binders</t>
        </is>
      </c>
      <c r="J565" s="2" t="n">
        <v>3</v>
      </c>
      <c r="K565" s="3" t="n">
        <v>10.54</v>
      </c>
      <c r="L565" s="3" t="n">
        <v>31.62</v>
      </c>
      <c r="M565" s="3" t="n">
        <v>20.6</v>
      </c>
      <c r="N565" s="3" t="n">
        <v>11.02</v>
      </c>
    </row>
    <row r="566">
      <c r="A566" t="inlineStr">
        <is>
          <t>SO-2406-10564</t>
        </is>
      </c>
      <c r="B566" s="1" t="n">
        <v>45467</v>
      </c>
      <c r="C566" t="inlineStr">
        <is>
          <t>South</t>
        </is>
      </c>
      <c r="D566" t="inlineStr">
        <is>
          <t>AL</t>
        </is>
      </c>
      <c r="E566" t="inlineStr">
        <is>
          <t>Birmingham</t>
        </is>
      </c>
      <c r="F566" t="inlineStr">
        <is>
          <t>Partner</t>
        </is>
      </c>
      <c r="G566" t="inlineStr">
        <is>
          <t>Small Business</t>
        </is>
      </c>
      <c r="H566" t="inlineStr">
        <is>
          <t>Furniture</t>
        </is>
      </c>
      <c r="I566" t="inlineStr">
        <is>
          <t>Standing Desk</t>
        </is>
      </c>
      <c r="J566" s="2" t="n">
        <v>1</v>
      </c>
      <c r="K566" s="3" t="n">
        <v>278.28</v>
      </c>
      <c r="L566" s="3" t="n">
        <v>278.28</v>
      </c>
      <c r="M566" s="3" t="n">
        <v>190.4</v>
      </c>
      <c r="N566" s="3" t="n">
        <v>87.88</v>
      </c>
    </row>
    <row r="567">
      <c r="A567" t="inlineStr">
        <is>
          <t>SO-2411-10565</t>
        </is>
      </c>
      <c r="B567" s="1" t="n">
        <v>45600</v>
      </c>
      <c r="C567" t="inlineStr">
        <is>
          <t>Midwest</t>
        </is>
      </c>
      <c r="D567" t="inlineStr">
        <is>
          <t>MI</t>
        </is>
      </c>
      <c r="E567" t="inlineStr">
        <is>
          <t>Detroit</t>
        </is>
      </c>
      <c r="F567" t="inlineStr">
        <is>
          <t>Partner</t>
        </is>
      </c>
      <c r="G567" t="inlineStr">
        <is>
          <t>Consumer</t>
        </is>
      </c>
      <c r="H567" t="inlineStr">
        <is>
          <t>Furniture</t>
        </is>
      </c>
      <c r="I567" t="inlineStr">
        <is>
          <t>Standing Desk</t>
        </is>
      </c>
      <c r="J567" s="2" t="n">
        <v>1</v>
      </c>
      <c r="K567" s="3" t="n">
        <v>319.48</v>
      </c>
      <c r="L567" s="3" t="n">
        <v>319.48</v>
      </c>
      <c r="M567" s="3" t="n">
        <v>200.17</v>
      </c>
      <c r="N567" s="3" t="n">
        <v>119.31</v>
      </c>
    </row>
    <row r="568">
      <c r="A568" t="inlineStr">
        <is>
          <t>SO-2406-10566</t>
        </is>
      </c>
      <c r="B568" s="1" t="n">
        <v>45460</v>
      </c>
      <c r="C568" t="inlineStr">
        <is>
          <t>Northeast</t>
        </is>
      </c>
      <c r="D568" t="inlineStr">
        <is>
          <t>NJ</t>
        </is>
      </c>
      <c r="E568" t="inlineStr">
        <is>
          <t>Newark</t>
        </is>
      </c>
      <c r="F568" t="inlineStr">
        <is>
          <t>Online</t>
        </is>
      </c>
      <c r="G568" t="inlineStr">
        <is>
          <t>Small Business</t>
        </is>
      </c>
      <c r="H568" t="inlineStr">
        <is>
          <t>Furniture</t>
        </is>
      </c>
      <c r="I568" t="inlineStr">
        <is>
          <t>Bookshelf</t>
        </is>
      </c>
      <c r="J568" s="2" t="n">
        <v>3</v>
      </c>
      <c r="K568" s="3" t="n">
        <v>91.79000000000001</v>
      </c>
      <c r="L568" s="3" t="n">
        <v>275.37</v>
      </c>
      <c r="M568" s="3" t="n">
        <v>180.71</v>
      </c>
      <c r="N568" s="3" t="n">
        <v>94.66</v>
      </c>
    </row>
    <row r="569">
      <c r="A569" t="inlineStr">
        <is>
          <t>SO-2403-10567</t>
        </is>
      </c>
      <c r="B569" s="1" t="n">
        <v>45363</v>
      </c>
      <c r="C569" t="inlineStr">
        <is>
          <t>South</t>
        </is>
      </c>
      <c r="D569" t="inlineStr">
        <is>
          <t>GA</t>
        </is>
      </c>
      <c r="E569" t="inlineStr">
        <is>
          <t>Atlanta</t>
        </is>
      </c>
      <c r="F569" t="inlineStr">
        <is>
          <t>Online</t>
        </is>
      </c>
      <c r="G569" t="inlineStr">
        <is>
          <t>Small Business</t>
        </is>
      </c>
      <c r="H569" t="inlineStr">
        <is>
          <t>Furniture</t>
        </is>
      </c>
      <c r="I569" t="inlineStr">
        <is>
          <t>Desk Chair</t>
        </is>
      </c>
      <c r="J569" s="2" t="n">
        <v>1</v>
      </c>
      <c r="K569" s="3" t="n">
        <v>133.58</v>
      </c>
      <c r="L569" s="3" t="n">
        <v>133.58</v>
      </c>
      <c r="M569" s="3" t="n">
        <v>80.83</v>
      </c>
      <c r="N569" s="3" t="n">
        <v>52.75</v>
      </c>
    </row>
    <row r="570">
      <c r="A570" t="inlineStr">
        <is>
          <t>SO-2407-10568</t>
        </is>
      </c>
      <c r="B570" s="1" t="n">
        <v>45478</v>
      </c>
      <c r="C570" t="inlineStr">
        <is>
          <t>South</t>
        </is>
      </c>
      <c r="D570" t="inlineStr">
        <is>
          <t>GA</t>
        </is>
      </c>
      <c r="E570" t="inlineStr">
        <is>
          <t>Atlanta</t>
        </is>
      </c>
      <c r="F570" t="inlineStr">
        <is>
          <t>Online</t>
        </is>
      </c>
      <c r="G570" t="inlineStr">
        <is>
          <t>Corporate</t>
        </is>
      </c>
      <c r="H570" t="inlineStr">
        <is>
          <t>Furniture</t>
        </is>
      </c>
      <c r="I570" t="inlineStr">
        <is>
          <t>Standing Desk</t>
        </is>
      </c>
      <c r="J570" s="2" t="n">
        <v>2</v>
      </c>
      <c r="K570" s="3" t="n">
        <v>294.59</v>
      </c>
      <c r="L570" s="3" t="n">
        <v>589.1799999999999</v>
      </c>
      <c r="M570" s="3" t="n">
        <v>395.08</v>
      </c>
      <c r="N570" s="3" t="n">
        <v>194.1</v>
      </c>
    </row>
    <row r="571">
      <c r="A571" t="inlineStr">
        <is>
          <t>SO-2402-10569</t>
        </is>
      </c>
      <c r="B571" s="1" t="n">
        <v>45343</v>
      </c>
      <c r="C571" t="inlineStr">
        <is>
          <t>Midwest</t>
        </is>
      </c>
      <c r="D571" t="inlineStr">
        <is>
          <t>IL</t>
        </is>
      </c>
      <c r="E571" t="inlineStr">
        <is>
          <t>Chicago</t>
        </is>
      </c>
      <c r="F571" t="inlineStr">
        <is>
          <t>Online</t>
        </is>
      </c>
      <c r="G571" t="inlineStr">
        <is>
          <t>Small Business</t>
        </is>
      </c>
      <c r="H571" t="inlineStr">
        <is>
          <t>Office Supplies</t>
        </is>
      </c>
      <c r="I571" t="inlineStr">
        <is>
          <t>Binders</t>
        </is>
      </c>
      <c r="J571" s="2" t="n">
        <v>3</v>
      </c>
      <c r="K571" s="3" t="n">
        <v>9.609999999999999</v>
      </c>
      <c r="L571" s="3" t="n">
        <v>28.83</v>
      </c>
      <c r="M571" s="3" t="n">
        <v>19.79</v>
      </c>
      <c r="N571" s="3" t="n">
        <v>9.039999999999999</v>
      </c>
    </row>
    <row r="572">
      <c r="A572" t="inlineStr">
        <is>
          <t>SO-2410-10570</t>
        </is>
      </c>
      <c r="B572" s="1" t="n">
        <v>45579</v>
      </c>
      <c r="C572" t="inlineStr">
        <is>
          <t>Midwest</t>
        </is>
      </c>
      <c r="D572" t="inlineStr">
        <is>
          <t>MI</t>
        </is>
      </c>
      <c r="E572" t="inlineStr">
        <is>
          <t>Detroit</t>
        </is>
      </c>
      <c r="F572" t="inlineStr">
        <is>
          <t>Partner</t>
        </is>
      </c>
      <c r="G572" t="inlineStr">
        <is>
          <t>Consumer</t>
        </is>
      </c>
      <c r="H572" t="inlineStr">
        <is>
          <t>Technology</t>
        </is>
      </c>
      <c r="I572" t="inlineStr">
        <is>
          <t>Mouse</t>
        </is>
      </c>
      <c r="J572" s="2" t="n">
        <v>3</v>
      </c>
      <c r="K572" s="3" t="n">
        <v>22.21</v>
      </c>
      <c r="L572" s="3" t="n">
        <v>66.63</v>
      </c>
      <c r="M572" s="3" t="n">
        <v>45.26</v>
      </c>
      <c r="N572" s="3" t="n">
        <v>21.37</v>
      </c>
    </row>
    <row r="573">
      <c r="A573" t="inlineStr">
        <is>
          <t>SO-2405-10571</t>
        </is>
      </c>
      <c r="B573" s="1" t="n">
        <v>45438</v>
      </c>
      <c r="C573" t="inlineStr">
        <is>
          <t>South</t>
        </is>
      </c>
      <c r="D573" t="inlineStr">
        <is>
          <t>FL</t>
        </is>
      </c>
      <c r="E573" t="inlineStr">
        <is>
          <t>Miami</t>
        </is>
      </c>
      <c r="F573" t="inlineStr">
        <is>
          <t>In-Store</t>
        </is>
      </c>
      <c r="G573" t="inlineStr">
        <is>
          <t>Small Business</t>
        </is>
      </c>
      <c r="H573" t="inlineStr">
        <is>
          <t>Office Supplies</t>
        </is>
      </c>
      <c r="I573" t="inlineStr">
        <is>
          <t>Binders</t>
        </is>
      </c>
      <c r="J573" s="2" t="n">
        <v>1</v>
      </c>
      <c r="K573" s="3" t="n">
        <v>8.77</v>
      </c>
      <c r="L573" s="3" t="n">
        <v>8.77</v>
      </c>
      <c r="M573" s="3" t="n">
        <v>6.04</v>
      </c>
      <c r="N573" s="3" t="n">
        <v>2.73</v>
      </c>
    </row>
    <row r="574">
      <c r="A574" t="inlineStr">
        <is>
          <t>SO-2506-10572</t>
        </is>
      </c>
      <c r="B574" s="1" t="n">
        <v>45814</v>
      </c>
      <c r="C574" t="inlineStr">
        <is>
          <t>West</t>
        </is>
      </c>
      <c r="D574" t="inlineStr">
        <is>
          <t>CO</t>
        </is>
      </c>
      <c r="E574" t="inlineStr">
        <is>
          <t>Denver</t>
        </is>
      </c>
      <c r="F574" t="inlineStr">
        <is>
          <t>Online</t>
        </is>
      </c>
      <c r="G574" t="inlineStr">
        <is>
          <t>Consumer</t>
        </is>
      </c>
      <c r="H574" t="inlineStr">
        <is>
          <t>Technology</t>
        </is>
      </c>
      <c r="I574" t="inlineStr">
        <is>
          <t>Keyboard</t>
        </is>
      </c>
      <c r="J574" s="2" t="n">
        <v>1</v>
      </c>
      <c r="K574" s="3" t="n">
        <v>45.26</v>
      </c>
      <c r="L574" s="3" t="n">
        <v>45.26</v>
      </c>
      <c r="M574" s="3" t="n">
        <v>29.36</v>
      </c>
      <c r="N574" s="3" t="n">
        <v>15.9</v>
      </c>
    </row>
    <row r="575">
      <c r="A575" t="inlineStr">
        <is>
          <t>SO-2412-10573</t>
        </is>
      </c>
      <c r="B575" s="1" t="n">
        <v>45648</v>
      </c>
      <c r="C575" t="inlineStr">
        <is>
          <t>Midwest</t>
        </is>
      </c>
      <c r="D575" t="inlineStr">
        <is>
          <t>MN</t>
        </is>
      </c>
      <c r="E575" t="inlineStr">
        <is>
          <t>Minneapolis</t>
        </is>
      </c>
      <c r="F575" t="inlineStr">
        <is>
          <t>Partner</t>
        </is>
      </c>
      <c r="G575" t="inlineStr">
        <is>
          <t>Corporate</t>
        </is>
      </c>
      <c r="H575" t="inlineStr">
        <is>
          <t>Office Supplies</t>
        </is>
      </c>
      <c r="I575" t="inlineStr">
        <is>
          <t>Pens</t>
        </is>
      </c>
      <c r="J575" s="2" t="n">
        <v>3</v>
      </c>
      <c r="K575" s="3" t="n">
        <v>3.94</v>
      </c>
      <c r="L575" s="3" t="n">
        <v>11.82</v>
      </c>
      <c r="M575" s="3" t="n">
        <v>7.28</v>
      </c>
      <c r="N575" s="3" t="n">
        <v>4.54</v>
      </c>
    </row>
    <row r="576">
      <c r="A576" t="inlineStr">
        <is>
          <t>SO-2406-10574</t>
        </is>
      </c>
      <c r="B576" s="1" t="n">
        <v>45452</v>
      </c>
      <c r="C576" t="inlineStr">
        <is>
          <t>South</t>
        </is>
      </c>
      <c r="D576" t="inlineStr">
        <is>
          <t>FL</t>
        </is>
      </c>
      <c r="E576" t="inlineStr">
        <is>
          <t>Miami</t>
        </is>
      </c>
      <c r="F576" t="inlineStr">
        <is>
          <t>Partner</t>
        </is>
      </c>
      <c r="G576" t="inlineStr">
        <is>
          <t>Consumer</t>
        </is>
      </c>
      <c r="H576" t="inlineStr">
        <is>
          <t>Technology</t>
        </is>
      </c>
      <c r="I576" t="inlineStr">
        <is>
          <t>Keyboard</t>
        </is>
      </c>
      <c r="J576" s="2" t="n">
        <v>1</v>
      </c>
      <c r="K576" s="3" t="n">
        <v>35.91</v>
      </c>
      <c r="L576" s="3" t="n">
        <v>35.91</v>
      </c>
      <c r="M576" s="3" t="n">
        <v>27.44</v>
      </c>
      <c r="N576" s="3" t="n">
        <v>8.470000000000001</v>
      </c>
    </row>
    <row r="577">
      <c r="A577" t="inlineStr">
        <is>
          <t>SO-2404-10575</t>
        </is>
      </c>
      <c r="B577" s="1" t="n">
        <v>45388</v>
      </c>
      <c r="C577" t="inlineStr">
        <is>
          <t>West</t>
        </is>
      </c>
      <c r="D577" t="inlineStr">
        <is>
          <t>WA</t>
        </is>
      </c>
      <c r="E577" t="inlineStr">
        <is>
          <t>Seattle</t>
        </is>
      </c>
      <c r="F577" t="inlineStr">
        <is>
          <t>In-Store</t>
        </is>
      </c>
      <c r="G577" t="inlineStr">
        <is>
          <t>Corporate</t>
        </is>
      </c>
      <c r="H577" t="inlineStr">
        <is>
          <t>Technology</t>
        </is>
      </c>
      <c r="I577" t="inlineStr">
        <is>
          <t>Keyboard</t>
        </is>
      </c>
      <c r="J577" s="2" t="n">
        <v>2</v>
      </c>
      <c r="K577" s="3" t="n">
        <v>43.43</v>
      </c>
      <c r="L577" s="3" t="n">
        <v>86.86</v>
      </c>
      <c r="M577" s="3" t="n">
        <v>63.41</v>
      </c>
      <c r="N577" s="3" t="n">
        <v>23.45</v>
      </c>
    </row>
    <row r="578">
      <c r="A578" t="inlineStr">
        <is>
          <t>SO-2401-10576</t>
        </is>
      </c>
      <c r="B578" s="1" t="n">
        <v>45293</v>
      </c>
      <c r="C578" t="inlineStr">
        <is>
          <t>Midwest</t>
        </is>
      </c>
      <c r="D578" t="inlineStr">
        <is>
          <t>IL</t>
        </is>
      </c>
      <c r="E578" t="inlineStr">
        <is>
          <t>Chicago</t>
        </is>
      </c>
      <c r="F578" t="inlineStr">
        <is>
          <t>In-Store</t>
        </is>
      </c>
      <c r="G578" t="inlineStr">
        <is>
          <t>Corporate</t>
        </is>
      </c>
      <c r="H578" t="inlineStr">
        <is>
          <t>Technology</t>
        </is>
      </c>
      <c r="I578" t="inlineStr">
        <is>
          <t>Monitor</t>
        </is>
      </c>
      <c r="J578" s="2" t="n">
        <v>1</v>
      </c>
      <c r="K578" s="3" t="n">
        <v>173.34</v>
      </c>
      <c r="L578" s="3" t="n">
        <v>173.34</v>
      </c>
      <c r="M578" s="3" t="n">
        <v>110.8</v>
      </c>
      <c r="N578" s="3" t="n">
        <v>62.54</v>
      </c>
    </row>
    <row r="579">
      <c r="A579" t="inlineStr">
        <is>
          <t>SO-2504-10577</t>
        </is>
      </c>
      <c r="B579" s="1" t="n">
        <v>45770</v>
      </c>
      <c r="C579" t="inlineStr">
        <is>
          <t>Northeast</t>
        </is>
      </c>
      <c r="D579" t="inlineStr">
        <is>
          <t>MA</t>
        </is>
      </c>
      <c r="E579" t="inlineStr">
        <is>
          <t>Boston</t>
        </is>
      </c>
      <c r="F579" t="inlineStr">
        <is>
          <t>In-Store</t>
        </is>
      </c>
      <c r="G579" t="inlineStr">
        <is>
          <t>Small Business</t>
        </is>
      </c>
      <c r="H579" t="inlineStr">
        <is>
          <t>Furniture</t>
        </is>
      </c>
      <c r="I579" t="inlineStr">
        <is>
          <t>Standing Desk</t>
        </is>
      </c>
      <c r="J579" s="2" t="n">
        <v>3</v>
      </c>
      <c r="K579" s="3" t="n">
        <v>281.28</v>
      </c>
      <c r="L579" s="3" t="n">
        <v>843.84</v>
      </c>
      <c r="M579" s="3" t="n">
        <v>586.71</v>
      </c>
      <c r="N579" s="3" t="n">
        <v>257.13</v>
      </c>
    </row>
    <row r="580">
      <c r="A580" t="inlineStr">
        <is>
          <t>SO-2503-10578</t>
        </is>
      </c>
      <c r="B580" s="1" t="n">
        <v>45736</v>
      </c>
      <c r="C580" t="inlineStr">
        <is>
          <t>West</t>
        </is>
      </c>
      <c r="D580" t="inlineStr">
        <is>
          <t>WA</t>
        </is>
      </c>
      <c r="E580" t="inlineStr">
        <is>
          <t>Seattle</t>
        </is>
      </c>
      <c r="F580" t="inlineStr">
        <is>
          <t>In-Store</t>
        </is>
      </c>
      <c r="G580" t="inlineStr">
        <is>
          <t>Corporate</t>
        </is>
      </c>
      <c r="H580" t="inlineStr">
        <is>
          <t>Office Supplies</t>
        </is>
      </c>
      <c r="I580" t="inlineStr">
        <is>
          <t>Pens</t>
        </is>
      </c>
      <c r="J580" s="2" t="n">
        <v>4</v>
      </c>
      <c r="K580" s="3" t="n">
        <v>4.37</v>
      </c>
      <c r="L580" s="3" t="n">
        <v>17.48</v>
      </c>
      <c r="M580" s="3" t="n">
        <v>10.95</v>
      </c>
      <c r="N580" s="3" t="n">
        <v>6.53</v>
      </c>
    </row>
    <row r="581">
      <c r="A581" t="inlineStr">
        <is>
          <t>SO-2505-10579</t>
        </is>
      </c>
      <c r="B581" s="1" t="n">
        <v>45789</v>
      </c>
      <c r="C581" t="inlineStr">
        <is>
          <t>Northeast</t>
        </is>
      </c>
      <c r="D581" t="inlineStr">
        <is>
          <t>NY</t>
        </is>
      </c>
      <c r="E581" t="inlineStr">
        <is>
          <t>New York</t>
        </is>
      </c>
      <c r="F581" t="inlineStr">
        <is>
          <t>Online</t>
        </is>
      </c>
      <c r="G581" t="inlineStr">
        <is>
          <t>Consumer</t>
        </is>
      </c>
      <c r="H581" t="inlineStr">
        <is>
          <t>Office Supplies</t>
        </is>
      </c>
      <c r="I581" t="inlineStr">
        <is>
          <t>Pens</t>
        </is>
      </c>
      <c r="J581" s="2" t="n">
        <v>1</v>
      </c>
      <c r="K581" s="3" t="n">
        <v>4.03</v>
      </c>
      <c r="L581" s="3" t="n">
        <v>4.03</v>
      </c>
      <c r="M581" s="3" t="n">
        <v>2.57</v>
      </c>
      <c r="N581" s="3" t="n">
        <v>1.46</v>
      </c>
    </row>
    <row r="582">
      <c r="A582" t="inlineStr">
        <is>
          <t>SO-2508-10580</t>
        </is>
      </c>
      <c r="B582" s="1" t="n">
        <v>45900</v>
      </c>
      <c r="C582" t="inlineStr">
        <is>
          <t>Northeast</t>
        </is>
      </c>
      <c r="D582" t="inlineStr">
        <is>
          <t>NJ</t>
        </is>
      </c>
      <c r="E582" t="inlineStr">
        <is>
          <t>Newark</t>
        </is>
      </c>
      <c r="F582" t="inlineStr">
        <is>
          <t>Online</t>
        </is>
      </c>
      <c r="G582" t="inlineStr">
        <is>
          <t>Small Business</t>
        </is>
      </c>
      <c r="H582" t="inlineStr">
        <is>
          <t>Office Supplies</t>
        </is>
      </c>
      <c r="I582" t="inlineStr">
        <is>
          <t>Paper</t>
        </is>
      </c>
      <c r="J582" s="2" t="n">
        <v>3</v>
      </c>
      <c r="K582" s="3" t="n">
        <v>7.07</v>
      </c>
      <c r="L582" s="3" t="n">
        <v>21.21</v>
      </c>
      <c r="M582" s="3" t="n">
        <v>12.36</v>
      </c>
      <c r="N582" s="3" t="n">
        <v>8.85</v>
      </c>
    </row>
    <row r="583">
      <c r="A583" t="inlineStr">
        <is>
          <t>SO-2406-10581</t>
        </is>
      </c>
      <c r="B583" s="1" t="n">
        <v>45449</v>
      </c>
      <c r="C583" t="inlineStr">
        <is>
          <t>Northeast</t>
        </is>
      </c>
      <c r="D583" t="inlineStr">
        <is>
          <t>PA</t>
        </is>
      </c>
      <c r="E583" t="inlineStr">
        <is>
          <t>Philadelphia</t>
        </is>
      </c>
      <c r="F583" t="inlineStr">
        <is>
          <t>In-Store</t>
        </is>
      </c>
      <c r="G583" t="inlineStr">
        <is>
          <t>Small Business</t>
        </is>
      </c>
      <c r="H583" t="inlineStr">
        <is>
          <t>Technology</t>
        </is>
      </c>
      <c r="I583" t="inlineStr">
        <is>
          <t>Mouse</t>
        </is>
      </c>
      <c r="J583" s="2" t="n">
        <v>2</v>
      </c>
      <c r="K583" s="3" t="n">
        <v>19.87</v>
      </c>
      <c r="L583" s="3" t="n">
        <v>39.74</v>
      </c>
      <c r="M583" s="3" t="n">
        <v>28.45</v>
      </c>
      <c r="N583" s="3" t="n">
        <v>11.29</v>
      </c>
    </row>
    <row r="584">
      <c r="A584" t="inlineStr">
        <is>
          <t>SO-2409-10582</t>
        </is>
      </c>
      <c r="B584" s="1" t="n">
        <v>45561</v>
      </c>
      <c r="C584" t="inlineStr">
        <is>
          <t>South</t>
        </is>
      </c>
      <c r="D584" t="inlineStr">
        <is>
          <t>GA</t>
        </is>
      </c>
      <c r="E584" t="inlineStr">
        <is>
          <t>Atlanta</t>
        </is>
      </c>
      <c r="F584" t="inlineStr">
        <is>
          <t>In-Store</t>
        </is>
      </c>
      <c r="G584" t="inlineStr">
        <is>
          <t>Consumer</t>
        </is>
      </c>
      <c r="H584" t="inlineStr">
        <is>
          <t>Furniture</t>
        </is>
      </c>
      <c r="I584" t="inlineStr">
        <is>
          <t>Desk Chair</t>
        </is>
      </c>
      <c r="J584" s="2" t="n">
        <v>3</v>
      </c>
      <c r="K584" s="3" t="n">
        <v>118.19</v>
      </c>
      <c r="L584" s="3" t="n">
        <v>354.57</v>
      </c>
      <c r="M584" s="3" t="n">
        <v>255.89</v>
      </c>
      <c r="N584" s="3" t="n">
        <v>98.68000000000001</v>
      </c>
    </row>
    <row r="585">
      <c r="A585" t="inlineStr">
        <is>
          <t>SO-2408-10583</t>
        </is>
      </c>
      <c r="B585" s="1" t="n">
        <v>45520</v>
      </c>
      <c r="C585" t="inlineStr">
        <is>
          <t>Midwest</t>
        </is>
      </c>
      <c r="D585" t="inlineStr">
        <is>
          <t>IL</t>
        </is>
      </c>
      <c r="E585" t="inlineStr">
        <is>
          <t>Chicago</t>
        </is>
      </c>
      <c r="F585" t="inlineStr">
        <is>
          <t>Online</t>
        </is>
      </c>
      <c r="G585" t="inlineStr">
        <is>
          <t>Consumer</t>
        </is>
      </c>
      <c r="H585" t="inlineStr">
        <is>
          <t>Technology</t>
        </is>
      </c>
      <c r="I585" t="inlineStr">
        <is>
          <t>Laptop Stand</t>
        </is>
      </c>
      <c r="J585" s="2" t="n">
        <v>5</v>
      </c>
      <c r="K585" s="3" t="n">
        <v>27.5</v>
      </c>
      <c r="L585" s="3" t="n">
        <v>137.5</v>
      </c>
      <c r="M585" s="3" t="n">
        <v>104.24</v>
      </c>
      <c r="N585" s="3" t="n">
        <v>33.26</v>
      </c>
    </row>
    <row r="586">
      <c r="A586" t="inlineStr">
        <is>
          <t>SO-2502-10584</t>
        </is>
      </c>
      <c r="B586" s="1" t="n">
        <v>45689</v>
      </c>
      <c r="C586" t="inlineStr">
        <is>
          <t>Midwest</t>
        </is>
      </c>
      <c r="D586" t="inlineStr">
        <is>
          <t>IL</t>
        </is>
      </c>
      <c r="E586" t="inlineStr">
        <is>
          <t>Chicago</t>
        </is>
      </c>
      <c r="F586" t="inlineStr">
        <is>
          <t>In-Store</t>
        </is>
      </c>
      <c r="G586" t="inlineStr">
        <is>
          <t>Small Business</t>
        </is>
      </c>
      <c r="H586" t="inlineStr">
        <is>
          <t>Technology</t>
        </is>
      </c>
      <c r="I586" t="inlineStr">
        <is>
          <t>Laptop Stand</t>
        </is>
      </c>
      <c r="J586" s="2" t="n">
        <v>2</v>
      </c>
      <c r="K586" s="3" t="n">
        <v>32.51</v>
      </c>
      <c r="L586" s="3" t="n">
        <v>65.02</v>
      </c>
      <c r="M586" s="3" t="n">
        <v>41.46</v>
      </c>
      <c r="N586" s="3" t="n">
        <v>23.56</v>
      </c>
    </row>
    <row r="587">
      <c r="A587" t="inlineStr">
        <is>
          <t>SO-2503-10585</t>
        </is>
      </c>
      <c r="B587" s="1" t="n">
        <v>45739</v>
      </c>
      <c r="C587" t="inlineStr">
        <is>
          <t>West</t>
        </is>
      </c>
      <c r="D587" t="inlineStr">
        <is>
          <t>WA</t>
        </is>
      </c>
      <c r="E587" t="inlineStr">
        <is>
          <t>Seattle</t>
        </is>
      </c>
      <c r="F587" t="inlineStr">
        <is>
          <t>Partner</t>
        </is>
      </c>
      <c r="G587" t="inlineStr">
        <is>
          <t>Small Business</t>
        </is>
      </c>
      <c r="H587" t="inlineStr">
        <is>
          <t>Technology</t>
        </is>
      </c>
      <c r="I587" t="inlineStr">
        <is>
          <t>Laptop Stand</t>
        </is>
      </c>
      <c r="J587" s="2" t="n">
        <v>2</v>
      </c>
      <c r="K587" s="3" t="n">
        <v>26.15</v>
      </c>
      <c r="L587" s="3" t="n">
        <v>52.3</v>
      </c>
      <c r="M587" s="3" t="n">
        <v>36.2</v>
      </c>
      <c r="N587" s="3" t="n">
        <v>16.1</v>
      </c>
    </row>
    <row r="588">
      <c r="A588" t="inlineStr">
        <is>
          <t>SO-2408-10586</t>
        </is>
      </c>
      <c r="B588" s="1" t="n">
        <v>45512</v>
      </c>
      <c r="C588" t="inlineStr">
        <is>
          <t>West</t>
        </is>
      </c>
      <c r="D588" t="inlineStr">
        <is>
          <t>AZ</t>
        </is>
      </c>
      <c r="E588" t="inlineStr">
        <is>
          <t>Phoenix</t>
        </is>
      </c>
      <c r="F588" t="inlineStr">
        <is>
          <t>In-Store</t>
        </is>
      </c>
      <c r="G588" t="inlineStr">
        <is>
          <t>Small Business</t>
        </is>
      </c>
      <c r="H588" t="inlineStr">
        <is>
          <t>Office Supplies</t>
        </is>
      </c>
      <c r="I588" t="inlineStr">
        <is>
          <t>Stapler</t>
        </is>
      </c>
      <c r="J588" s="2" t="n">
        <v>6</v>
      </c>
      <c r="K588" s="3" t="n">
        <v>14.57</v>
      </c>
      <c r="L588" s="3" t="n">
        <v>87.42</v>
      </c>
      <c r="M588" s="3" t="n">
        <v>58.84</v>
      </c>
      <c r="N588" s="3" t="n">
        <v>28.58</v>
      </c>
    </row>
    <row r="589">
      <c r="A589" t="inlineStr">
        <is>
          <t>SO-2505-10587</t>
        </is>
      </c>
      <c r="B589" s="1" t="n">
        <v>45791</v>
      </c>
      <c r="C589" t="inlineStr">
        <is>
          <t>Northeast</t>
        </is>
      </c>
      <c r="D589" t="inlineStr">
        <is>
          <t>NY</t>
        </is>
      </c>
      <c r="E589" t="inlineStr">
        <is>
          <t>New York</t>
        </is>
      </c>
      <c r="F589" t="inlineStr">
        <is>
          <t>Partner</t>
        </is>
      </c>
      <c r="G589" t="inlineStr">
        <is>
          <t>Consumer</t>
        </is>
      </c>
      <c r="H589" t="inlineStr">
        <is>
          <t>Office Supplies</t>
        </is>
      </c>
      <c r="I589" t="inlineStr">
        <is>
          <t>Binders</t>
        </is>
      </c>
      <c r="J589" s="2" t="n">
        <v>2</v>
      </c>
      <c r="K589" s="3" t="n">
        <v>11.19</v>
      </c>
      <c r="L589" s="3" t="n">
        <v>22.38</v>
      </c>
      <c r="M589" s="3" t="n">
        <v>13.76</v>
      </c>
      <c r="N589" s="3" t="n">
        <v>8.619999999999999</v>
      </c>
    </row>
    <row r="590">
      <c r="A590" t="inlineStr">
        <is>
          <t>SO-2502-10588</t>
        </is>
      </c>
      <c r="B590" s="1" t="n">
        <v>45694</v>
      </c>
      <c r="C590" t="inlineStr">
        <is>
          <t>Northeast</t>
        </is>
      </c>
      <c r="D590" t="inlineStr">
        <is>
          <t>NJ</t>
        </is>
      </c>
      <c r="E590" t="inlineStr">
        <is>
          <t>Newark</t>
        </is>
      </c>
      <c r="F590" t="inlineStr">
        <is>
          <t>Partner</t>
        </is>
      </c>
      <c r="G590" t="inlineStr">
        <is>
          <t>Consumer</t>
        </is>
      </c>
      <c r="H590" t="inlineStr">
        <is>
          <t>Office Supplies</t>
        </is>
      </c>
      <c r="I590" t="inlineStr">
        <is>
          <t>Binders</t>
        </is>
      </c>
      <c r="J590" s="2" t="n">
        <v>5</v>
      </c>
      <c r="K590" s="3" t="n">
        <v>9.789999999999999</v>
      </c>
      <c r="L590" s="3" t="n">
        <v>48.95</v>
      </c>
      <c r="M590" s="3" t="n">
        <v>31.59</v>
      </c>
      <c r="N590" s="3" t="n">
        <v>17.36</v>
      </c>
    </row>
    <row r="591">
      <c r="A591" t="inlineStr">
        <is>
          <t>SO-2402-10589</t>
        </is>
      </c>
      <c r="B591" s="1" t="n">
        <v>45341</v>
      </c>
      <c r="C591" t="inlineStr">
        <is>
          <t>Midwest</t>
        </is>
      </c>
      <c r="D591" t="inlineStr">
        <is>
          <t>IL</t>
        </is>
      </c>
      <c r="E591" t="inlineStr">
        <is>
          <t>Chicago</t>
        </is>
      </c>
      <c r="F591" t="inlineStr">
        <is>
          <t>Partner</t>
        </is>
      </c>
      <c r="G591" t="inlineStr">
        <is>
          <t>Consumer</t>
        </is>
      </c>
      <c r="H591" t="inlineStr">
        <is>
          <t>Technology</t>
        </is>
      </c>
      <c r="I591" t="inlineStr">
        <is>
          <t>Laptop Stand</t>
        </is>
      </c>
      <c r="J591" s="2" t="n">
        <v>1</v>
      </c>
      <c r="K591" s="3" t="n">
        <v>31.97</v>
      </c>
      <c r="L591" s="3" t="n">
        <v>31.97</v>
      </c>
      <c r="M591" s="3" t="n">
        <v>20.51</v>
      </c>
      <c r="N591" s="3" t="n">
        <v>11.46</v>
      </c>
    </row>
    <row r="592">
      <c r="A592" t="inlineStr">
        <is>
          <t>SO-2510-10590</t>
        </is>
      </c>
      <c r="B592" s="1" t="n">
        <v>45949</v>
      </c>
      <c r="C592" t="inlineStr">
        <is>
          <t>Midwest</t>
        </is>
      </c>
      <c r="D592" t="inlineStr">
        <is>
          <t>IL</t>
        </is>
      </c>
      <c r="E592" t="inlineStr">
        <is>
          <t>Chicago</t>
        </is>
      </c>
      <c r="F592" t="inlineStr">
        <is>
          <t>Online</t>
        </is>
      </c>
      <c r="G592" t="inlineStr">
        <is>
          <t>Corporate</t>
        </is>
      </c>
      <c r="H592" t="inlineStr">
        <is>
          <t>Technology</t>
        </is>
      </c>
      <c r="I592" t="inlineStr">
        <is>
          <t>Monitor</t>
        </is>
      </c>
      <c r="J592" s="2" t="n">
        <v>1</v>
      </c>
      <c r="K592" s="3" t="n">
        <v>195.95</v>
      </c>
      <c r="L592" s="3" t="n">
        <v>195.95</v>
      </c>
      <c r="M592" s="3" t="n">
        <v>123.3</v>
      </c>
      <c r="N592" s="3" t="n">
        <v>72.65000000000001</v>
      </c>
    </row>
    <row r="593">
      <c r="A593" t="inlineStr">
        <is>
          <t>SO-2404-10591</t>
        </is>
      </c>
      <c r="B593" s="1" t="n">
        <v>45412</v>
      </c>
      <c r="C593" t="inlineStr">
        <is>
          <t>South</t>
        </is>
      </c>
      <c r="D593" t="inlineStr">
        <is>
          <t>FL</t>
        </is>
      </c>
      <c r="E593" t="inlineStr">
        <is>
          <t>Miami</t>
        </is>
      </c>
      <c r="F593" t="inlineStr">
        <is>
          <t>Partner</t>
        </is>
      </c>
      <c r="G593" t="inlineStr">
        <is>
          <t>Corporate</t>
        </is>
      </c>
      <c r="H593" t="inlineStr">
        <is>
          <t>Furniture</t>
        </is>
      </c>
      <c r="I593" t="inlineStr">
        <is>
          <t>Standing Desk</t>
        </is>
      </c>
      <c r="J593" s="2" t="n">
        <v>3</v>
      </c>
      <c r="K593" s="3" t="n">
        <v>310.44</v>
      </c>
      <c r="L593" s="3" t="n">
        <v>931.3200000000001</v>
      </c>
      <c r="M593" s="3" t="n">
        <v>681.89</v>
      </c>
      <c r="N593" s="3" t="n">
        <v>249.43</v>
      </c>
    </row>
    <row r="594">
      <c r="A594" t="inlineStr">
        <is>
          <t>SO-2505-10592</t>
        </is>
      </c>
      <c r="B594" s="1" t="n">
        <v>45783</v>
      </c>
      <c r="C594" t="inlineStr">
        <is>
          <t>Midwest</t>
        </is>
      </c>
      <c r="D594" t="inlineStr">
        <is>
          <t>MN</t>
        </is>
      </c>
      <c r="E594" t="inlineStr">
        <is>
          <t>Minneapolis</t>
        </is>
      </c>
      <c r="F594" t="inlineStr">
        <is>
          <t>Partner</t>
        </is>
      </c>
      <c r="G594" t="inlineStr">
        <is>
          <t>Small Business</t>
        </is>
      </c>
      <c r="H594" t="inlineStr">
        <is>
          <t>Technology</t>
        </is>
      </c>
      <c r="I594" t="inlineStr">
        <is>
          <t>Laptop Stand</t>
        </is>
      </c>
      <c r="J594" s="2" t="n">
        <v>5</v>
      </c>
      <c r="K594" s="3" t="n">
        <v>26.45</v>
      </c>
      <c r="L594" s="3" t="n">
        <v>132.25</v>
      </c>
      <c r="M594" s="3" t="n">
        <v>88.40000000000001</v>
      </c>
      <c r="N594" s="3" t="n">
        <v>43.85</v>
      </c>
    </row>
    <row r="595">
      <c r="A595" t="inlineStr">
        <is>
          <t>SO-2407-10593</t>
        </is>
      </c>
      <c r="B595" s="1" t="n">
        <v>45499</v>
      </c>
      <c r="C595" t="inlineStr">
        <is>
          <t>West</t>
        </is>
      </c>
      <c r="D595" t="inlineStr">
        <is>
          <t>CO</t>
        </is>
      </c>
      <c r="E595" t="inlineStr">
        <is>
          <t>Denver</t>
        </is>
      </c>
      <c r="F595" t="inlineStr">
        <is>
          <t>Online</t>
        </is>
      </c>
      <c r="G595" t="inlineStr">
        <is>
          <t>Corporate</t>
        </is>
      </c>
      <c r="H595" t="inlineStr">
        <is>
          <t>Furniture</t>
        </is>
      </c>
      <c r="I595" t="inlineStr">
        <is>
          <t>Bookshelf</t>
        </is>
      </c>
      <c r="J595" s="2" t="n">
        <v>4</v>
      </c>
      <c r="K595" s="3" t="n">
        <v>99.01000000000001</v>
      </c>
      <c r="L595" s="3" t="n">
        <v>396.04</v>
      </c>
      <c r="M595" s="3" t="n">
        <v>247.38</v>
      </c>
      <c r="N595" s="3" t="n">
        <v>148.66</v>
      </c>
    </row>
    <row r="596">
      <c r="A596" t="inlineStr">
        <is>
          <t>SO-2408-10594</t>
        </is>
      </c>
      <c r="B596" s="1" t="n">
        <v>45535</v>
      </c>
      <c r="C596" t="inlineStr">
        <is>
          <t>West</t>
        </is>
      </c>
      <c r="D596" t="inlineStr">
        <is>
          <t>AZ</t>
        </is>
      </c>
      <c r="E596" t="inlineStr">
        <is>
          <t>Phoenix</t>
        </is>
      </c>
      <c r="F596" t="inlineStr">
        <is>
          <t>Online</t>
        </is>
      </c>
      <c r="G596" t="inlineStr">
        <is>
          <t>Small Business</t>
        </is>
      </c>
      <c r="H596" t="inlineStr">
        <is>
          <t>Technology</t>
        </is>
      </c>
      <c r="I596" t="inlineStr">
        <is>
          <t>Keyboard</t>
        </is>
      </c>
      <c r="J596" s="2" t="n">
        <v>1</v>
      </c>
      <c r="K596" s="3" t="n">
        <v>41.23</v>
      </c>
      <c r="L596" s="3" t="n">
        <v>41.23</v>
      </c>
      <c r="M596" s="3" t="n">
        <v>25.84</v>
      </c>
      <c r="N596" s="3" t="n">
        <v>15.39</v>
      </c>
    </row>
    <row r="597">
      <c r="A597" t="inlineStr">
        <is>
          <t>SO-2503-10595</t>
        </is>
      </c>
      <c r="B597" s="1" t="n">
        <v>45742</v>
      </c>
      <c r="C597" t="inlineStr">
        <is>
          <t>South</t>
        </is>
      </c>
      <c r="D597" t="inlineStr">
        <is>
          <t>TN</t>
        </is>
      </c>
      <c r="E597" t="inlineStr">
        <is>
          <t>Nashville</t>
        </is>
      </c>
      <c r="F597" t="inlineStr">
        <is>
          <t>Partner</t>
        </is>
      </c>
      <c r="G597" t="inlineStr">
        <is>
          <t>Consumer</t>
        </is>
      </c>
      <c r="H597" t="inlineStr">
        <is>
          <t>Office Supplies</t>
        </is>
      </c>
      <c r="I597" t="inlineStr">
        <is>
          <t>Paper</t>
        </is>
      </c>
      <c r="J597" s="2" t="n">
        <v>1</v>
      </c>
      <c r="K597" s="3" t="n">
        <v>7.23</v>
      </c>
      <c r="L597" s="3" t="n">
        <v>7.23</v>
      </c>
      <c r="M597" s="3" t="n">
        <v>4.7</v>
      </c>
      <c r="N597" s="3" t="n">
        <v>2.53</v>
      </c>
    </row>
    <row r="598">
      <c r="A598" t="inlineStr">
        <is>
          <t>SO-2504-10596</t>
        </is>
      </c>
      <c r="B598" s="1" t="n">
        <v>45776</v>
      </c>
      <c r="C598" t="inlineStr">
        <is>
          <t>South</t>
        </is>
      </c>
      <c r="D598" t="inlineStr">
        <is>
          <t>GA</t>
        </is>
      </c>
      <c r="E598" t="inlineStr">
        <is>
          <t>Atlanta</t>
        </is>
      </c>
      <c r="F598" t="inlineStr">
        <is>
          <t>Online</t>
        </is>
      </c>
      <c r="G598" t="inlineStr">
        <is>
          <t>Consumer</t>
        </is>
      </c>
      <c r="H598" t="inlineStr">
        <is>
          <t>Technology</t>
        </is>
      </c>
      <c r="I598" t="inlineStr">
        <is>
          <t>Monitor</t>
        </is>
      </c>
      <c r="J598" s="2" t="n">
        <v>4</v>
      </c>
      <c r="K598" s="3" t="n">
        <v>180.32</v>
      </c>
      <c r="L598" s="3" t="n">
        <v>721.28</v>
      </c>
      <c r="M598" s="3" t="n">
        <v>538.01</v>
      </c>
      <c r="N598" s="3" t="n">
        <v>183.27</v>
      </c>
    </row>
    <row r="599">
      <c r="A599" t="inlineStr">
        <is>
          <t>SO-2403-10597</t>
        </is>
      </c>
      <c r="B599" s="1" t="n">
        <v>45364</v>
      </c>
      <c r="C599" t="inlineStr">
        <is>
          <t>South</t>
        </is>
      </c>
      <c r="D599" t="inlineStr">
        <is>
          <t>AL</t>
        </is>
      </c>
      <c r="E599" t="inlineStr">
        <is>
          <t>Birmingham</t>
        </is>
      </c>
      <c r="F599" t="inlineStr">
        <is>
          <t>Online</t>
        </is>
      </c>
      <c r="G599" t="inlineStr">
        <is>
          <t>Corporate</t>
        </is>
      </c>
      <c r="H599" t="inlineStr">
        <is>
          <t>Furniture</t>
        </is>
      </c>
      <c r="I599" t="inlineStr">
        <is>
          <t>Standing Desk</t>
        </is>
      </c>
      <c r="J599" s="2" t="n">
        <v>2</v>
      </c>
      <c r="K599" s="3" t="n">
        <v>312.44</v>
      </c>
      <c r="L599" s="3" t="n">
        <v>624.88</v>
      </c>
      <c r="M599" s="3" t="n">
        <v>426.63</v>
      </c>
      <c r="N599" s="3" t="n">
        <v>198.25</v>
      </c>
    </row>
    <row r="600">
      <c r="A600" t="inlineStr">
        <is>
          <t>SO-2507-10598</t>
        </is>
      </c>
      <c r="B600" s="1" t="n">
        <v>45848</v>
      </c>
      <c r="C600" t="inlineStr">
        <is>
          <t>West</t>
        </is>
      </c>
      <c r="D600" t="inlineStr">
        <is>
          <t>CO</t>
        </is>
      </c>
      <c r="E600" t="inlineStr">
        <is>
          <t>Denver</t>
        </is>
      </c>
      <c r="F600" t="inlineStr">
        <is>
          <t>Partner</t>
        </is>
      </c>
      <c r="G600" t="inlineStr">
        <is>
          <t>Corporate</t>
        </is>
      </c>
      <c r="H600" t="inlineStr">
        <is>
          <t>Technology</t>
        </is>
      </c>
      <c r="I600" t="inlineStr">
        <is>
          <t>Keyboard</t>
        </is>
      </c>
      <c r="J600" s="2" t="n">
        <v>2</v>
      </c>
      <c r="K600" s="3" t="n">
        <v>37.74</v>
      </c>
      <c r="L600" s="3" t="n">
        <v>75.48</v>
      </c>
      <c r="M600" s="3" t="n">
        <v>52.94</v>
      </c>
      <c r="N600" s="3" t="n">
        <v>22.54</v>
      </c>
    </row>
    <row r="601">
      <c r="A601" t="inlineStr">
        <is>
          <t>SO-2410-10599</t>
        </is>
      </c>
      <c r="B601" s="1" t="n">
        <v>45576</v>
      </c>
      <c r="C601" t="inlineStr">
        <is>
          <t>Midwest</t>
        </is>
      </c>
      <c r="D601" t="inlineStr">
        <is>
          <t>IL</t>
        </is>
      </c>
      <c r="E601" t="inlineStr">
        <is>
          <t>Chicago</t>
        </is>
      </c>
      <c r="F601" t="inlineStr">
        <is>
          <t>Partner</t>
        </is>
      </c>
      <c r="G601" t="inlineStr">
        <is>
          <t>Corporate</t>
        </is>
      </c>
      <c r="H601" t="inlineStr">
        <is>
          <t>Office Supplies</t>
        </is>
      </c>
      <c r="I601" t="inlineStr">
        <is>
          <t>Paper</t>
        </is>
      </c>
      <c r="J601" s="2" t="n">
        <v>5</v>
      </c>
      <c r="K601" s="3" t="n">
        <v>6.84</v>
      </c>
      <c r="L601" s="3" t="n">
        <v>34.2</v>
      </c>
      <c r="M601" s="3" t="n">
        <v>21.75</v>
      </c>
      <c r="N601" s="3" t="n">
        <v>12.45</v>
      </c>
    </row>
    <row r="602">
      <c r="A602" t="inlineStr">
        <is>
          <t>SO-2510-10600</t>
        </is>
      </c>
      <c r="B602" s="1" t="n">
        <v>45945</v>
      </c>
      <c r="C602" t="inlineStr">
        <is>
          <t>Midwest</t>
        </is>
      </c>
      <c r="D602" t="inlineStr">
        <is>
          <t>OH</t>
        </is>
      </c>
      <c r="E602" t="inlineStr">
        <is>
          <t>Columbus</t>
        </is>
      </c>
      <c r="F602" t="inlineStr">
        <is>
          <t>Partner</t>
        </is>
      </c>
      <c r="G602" t="inlineStr">
        <is>
          <t>Small Business</t>
        </is>
      </c>
      <c r="H602" t="inlineStr">
        <is>
          <t>Furniture</t>
        </is>
      </c>
      <c r="I602" t="inlineStr">
        <is>
          <t>Filing Cabinet</t>
        </is>
      </c>
      <c r="J602" s="2" t="n">
        <v>1</v>
      </c>
      <c r="K602" s="3" t="n">
        <v>137.02</v>
      </c>
      <c r="L602" s="3" t="n">
        <v>137.02</v>
      </c>
      <c r="M602" s="3" t="n">
        <v>92.29000000000001</v>
      </c>
      <c r="N602" s="3" t="n">
        <v>44.73</v>
      </c>
    </row>
    <row r="603">
      <c r="A603" t="inlineStr">
        <is>
          <t>SO-2410-10601</t>
        </is>
      </c>
      <c r="B603" s="1" t="n">
        <v>45590</v>
      </c>
      <c r="C603" t="inlineStr">
        <is>
          <t>South</t>
        </is>
      </c>
      <c r="D603" t="inlineStr">
        <is>
          <t>GA</t>
        </is>
      </c>
      <c r="E603" t="inlineStr">
        <is>
          <t>Atlanta</t>
        </is>
      </c>
      <c r="F603" t="inlineStr">
        <is>
          <t>Partner</t>
        </is>
      </c>
      <c r="G603" t="inlineStr">
        <is>
          <t>Corporate</t>
        </is>
      </c>
      <c r="H603" t="inlineStr">
        <is>
          <t>Furniture</t>
        </is>
      </c>
      <c r="I603" t="inlineStr">
        <is>
          <t>Filing Cabinet</t>
        </is>
      </c>
      <c r="J603" s="2" t="n">
        <v>4</v>
      </c>
      <c r="K603" s="3" t="n">
        <v>152.33</v>
      </c>
      <c r="L603" s="3" t="n">
        <v>609.3200000000001</v>
      </c>
      <c r="M603" s="3" t="n">
        <v>439.64</v>
      </c>
      <c r="N603" s="3" t="n">
        <v>169.68</v>
      </c>
    </row>
    <row r="604">
      <c r="A604" t="inlineStr">
        <is>
          <t>SO-2504-10602</t>
        </is>
      </c>
      <c r="B604" s="1" t="n">
        <v>45768</v>
      </c>
      <c r="C604" t="inlineStr">
        <is>
          <t>Midwest</t>
        </is>
      </c>
      <c r="D604" t="inlineStr">
        <is>
          <t>OH</t>
        </is>
      </c>
      <c r="E604" t="inlineStr">
        <is>
          <t>Columbus</t>
        </is>
      </c>
      <c r="F604" t="inlineStr">
        <is>
          <t>In-Store</t>
        </is>
      </c>
      <c r="G604" t="inlineStr">
        <is>
          <t>Small Business</t>
        </is>
      </c>
      <c r="H604" t="inlineStr">
        <is>
          <t>Technology</t>
        </is>
      </c>
      <c r="I604" t="inlineStr">
        <is>
          <t>Monitor</t>
        </is>
      </c>
      <c r="J604" s="2" t="n">
        <v>1</v>
      </c>
      <c r="K604" s="3" t="n">
        <v>185.12</v>
      </c>
      <c r="L604" s="3" t="n">
        <v>185.12</v>
      </c>
      <c r="M604" s="3" t="n">
        <v>119.1</v>
      </c>
      <c r="N604" s="3" t="n">
        <v>66.02</v>
      </c>
    </row>
    <row r="605">
      <c r="A605" t="inlineStr">
        <is>
          <t>SO-2406-10603</t>
        </is>
      </c>
      <c r="B605" s="1" t="n">
        <v>45471</v>
      </c>
      <c r="C605" t="inlineStr">
        <is>
          <t>Northeast</t>
        </is>
      </c>
      <c r="D605" t="inlineStr">
        <is>
          <t>MA</t>
        </is>
      </c>
      <c r="E605" t="inlineStr">
        <is>
          <t>Boston</t>
        </is>
      </c>
      <c r="F605" t="inlineStr">
        <is>
          <t>In-Store</t>
        </is>
      </c>
      <c r="G605" t="inlineStr">
        <is>
          <t>Corporate</t>
        </is>
      </c>
      <c r="H605" t="inlineStr">
        <is>
          <t>Furniture</t>
        </is>
      </c>
      <c r="I605" t="inlineStr">
        <is>
          <t>Standing Desk</t>
        </is>
      </c>
      <c r="J605" s="2" t="n">
        <v>1</v>
      </c>
      <c r="K605" s="3" t="n">
        <v>327.86</v>
      </c>
      <c r="L605" s="3" t="n">
        <v>327.86</v>
      </c>
      <c r="M605" s="3" t="n">
        <v>238.28</v>
      </c>
      <c r="N605" s="3" t="n">
        <v>89.58</v>
      </c>
    </row>
    <row r="606">
      <c r="A606" t="inlineStr">
        <is>
          <t>SO-2505-10604</t>
        </is>
      </c>
      <c r="B606" s="1" t="n">
        <v>45779</v>
      </c>
      <c r="C606" t="inlineStr">
        <is>
          <t>Northeast</t>
        </is>
      </c>
      <c r="D606" t="inlineStr">
        <is>
          <t>NJ</t>
        </is>
      </c>
      <c r="E606" t="inlineStr">
        <is>
          <t>Newark</t>
        </is>
      </c>
      <c r="F606" t="inlineStr">
        <is>
          <t>Partner</t>
        </is>
      </c>
      <c r="G606" t="inlineStr">
        <is>
          <t>Small Business</t>
        </is>
      </c>
      <c r="H606" t="inlineStr">
        <is>
          <t>Technology</t>
        </is>
      </c>
      <c r="I606" t="inlineStr">
        <is>
          <t>Keyboard</t>
        </is>
      </c>
      <c r="J606" s="2" t="n">
        <v>1</v>
      </c>
      <c r="K606" s="3" t="n">
        <v>42.55</v>
      </c>
      <c r="L606" s="3" t="n">
        <v>42.55</v>
      </c>
      <c r="M606" s="3" t="n">
        <v>30.59</v>
      </c>
      <c r="N606" s="3" t="n">
        <v>11.96</v>
      </c>
    </row>
    <row r="607">
      <c r="A607" t="inlineStr">
        <is>
          <t>SO-2510-10605</t>
        </is>
      </c>
      <c r="B607" s="1" t="n">
        <v>45957</v>
      </c>
      <c r="C607" t="inlineStr">
        <is>
          <t>West</t>
        </is>
      </c>
      <c r="D607" t="inlineStr">
        <is>
          <t>CA</t>
        </is>
      </c>
      <c r="E607" t="inlineStr">
        <is>
          <t>Los Angeles</t>
        </is>
      </c>
      <c r="F607" t="inlineStr">
        <is>
          <t>In-Store</t>
        </is>
      </c>
      <c r="G607" t="inlineStr">
        <is>
          <t>Corporate</t>
        </is>
      </c>
      <c r="H607" t="inlineStr">
        <is>
          <t>Office Supplies</t>
        </is>
      </c>
      <c r="I607" t="inlineStr">
        <is>
          <t>Stapler</t>
        </is>
      </c>
      <c r="J607" s="2" t="n">
        <v>3</v>
      </c>
      <c r="K607" s="3" t="n">
        <v>12.57</v>
      </c>
      <c r="L607" s="3" t="n">
        <v>37.71</v>
      </c>
      <c r="M607" s="3" t="n">
        <v>23.14</v>
      </c>
      <c r="N607" s="3" t="n">
        <v>14.57</v>
      </c>
    </row>
    <row r="608">
      <c r="A608" t="inlineStr">
        <is>
          <t>SO-2504-10606</t>
        </is>
      </c>
      <c r="B608" s="1" t="n">
        <v>45768</v>
      </c>
      <c r="C608" t="inlineStr">
        <is>
          <t>West</t>
        </is>
      </c>
      <c r="D608" t="inlineStr">
        <is>
          <t>CO</t>
        </is>
      </c>
      <c r="E608" t="inlineStr">
        <is>
          <t>Denver</t>
        </is>
      </c>
      <c r="F608" t="inlineStr">
        <is>
          <t>Online</t>
        </is>
      </c>
      <c r="G608" t="inlineStr">
        <is>
          <t>Consumer</t>
        </is>
      </c>
      <c r="H608" t="inlineStr">
        <is>
          <t>Office Supplies</t>
        </is>
      </c>
      <c r="I608" t="inlineStr">
        <is>
          <t>Stapler</t>
        </is>
      </c>
      <c r="J608" s="2" t="n">
        <v>1</v>
      </c>
      <c r="K608" s="3" t="n">
        <v>14.74</v>
      </c>
      <c r="L608" s="3" t="n">
        <v>14.74</v>
      </c>
      <c r="M608" s="3" t="n">
        <v>10.24</v>
      </c>
      <c r="N608" s="3" t="n">
        <v>4.5</v>
      </c>
    </row>
    <row r="609">
      <c r="A609" t="inlineStr">
        <is>
          <t>SO-2505-10607</t>
        </is>
      </c>
      <c r="B609" s="1" t="n">
        <v>45778</v>
      </c>
      <c r="C609" t="inlineStr">
        <is>
          <t>Northeast</t>
        </is>
      </c>
      <c r="D609" t="inlineStr">
        <is>
          <t>NY</t>
        </is>
      </c>
      <c r="E609" t="inlineStr">
        <is>
          <t>New York</t>
        </is>
      </c>
      <c r="F609" t="inlineStr">
        <is>
          <t>In-Store</t>
        </is>
      </c>
      <c r="G609" t="inlineStr">
        <is>
          <t>Corporate</t>
        </is>
      </c>
      <c r="H609" t="inlineStr">
        <is>
          <t>Furniture</t>
        </is>
      </c>
      <c r="I609" t="inlineStr">
        <is>
          <t>Standing Desk</t>
        </is>
      </c>
      <c r="J609" s="2" t="n">
        <v>4</v>
      </c>
      <c r="K609" s="3" t="n">
        <v>329.99</v>
      </c>
      <c r="L609" s="3" t="n">
        <v>1319.96</v>
      </c>
      <c r="M609" s="3" t="n">
        <v>942.27</v>
      </c>
      <c r="N609" s="3" t="n">
        <v>377.69</v>
      </c>
    </row>
    <row r="610">
      <c r="A610" t="inlineStr">
        <is>
          <t>SO-2412-10608</t>
        </is>
      </c>
      <c r="B610" s="1" t="n">
        <v>45636</v>
      </c>
      <c r="C610" t="inlineStr">
        <is>
          <t>Midwest</t>
        </is>
      </c>
      <c r="D610" t="inlineStr">
        <is>
          <t>OH</t>
        </is>
      </c>
      <c r="E610" t="inlineStr">
        <is>
          <t>Columbus</t>
        </is>
      </c>
      <c r="F610" t="inlineStr">
        <is>
          <t>Online</t>
        </is>
      </c>
      <c r="G610" t="inlineStr">
        <is>
          <t>Small Business</t>
        </is>
      </c>
      <c r="H610" t="inlineStr">
        <is>
          <t>Furniture</t>
        </is>
      </c>
      <c r="I610" t="inlineStr">
        <is>
          <t>Standing Desk</t>
        </is>
      </c>
      <c r="J610" s="2" t="n">
        <v>3</v>
      </c>
      <c r="K610" s="3" t="n">
        <v>270.32</v>
      </c>
      <c r="L610" s="3" t="n">
        <v>810.96</v>
      </c>
      <c r="M610" s="3" t="n">
        <v>499.59</v>
      </c>
      <c r="N610" s="3" t="n">
        <v>311.37</v>
      </c>
    </row>
    <row r="611">
      <c r="A611" t="inlineStr">
        <is>
          <t>SO-2403-10609</t>
        </is>
      </c>
      <c r="B611" s="1" t="n">
        <v>45376</v>
      </c>
      <c r="C611" t="inlineStr">
        <is>
          <t>Northeast</t>
        </is>
      </c>
      <c r="D611" t="inlineStr">
        <is>
          <t>MA</t>
        </is>
      </c>
      <c r="E611" t="inlineStr">
        <is>
          <t>Boston</t>
        </is>
      </c>
      <c r="F611" t="inlineStr">
        <is>
          <t>In-Store</t>
        </is>
      </c>
      <c r="G611" t="inlineStr">
        <is>
          <t>Consumer</t>
        </is>
      </c>
      <c r="H611" t="inlineStr">
        <is>
          <t>Furniture</t>
        </is>
      </c>
      <c r="I611" t="inlineStr">
        <is>
          <t>Standing Desk</t>
        </is>
      </c>
      <c r="J611" s="2" t="n">
        <v>2</v>
      </c>
      <c r="K611" s="3" t="n">
        <v>343.12</v>
      </c>
      <c r="L611" s="3" t="n">
        <v>686.24</v>
      </c>
      <c r="M611" s="3" t="n">
        <v>431.69</v>
      </c>
      <c r="N611" s="3" t="n">
        <v>254.55</v>
      </c>
    </row>
    <row r="612">
      <c r="A612" t="inlineStr">
        <is>
          <t>SO-2401-10610</t>
        </is>
      </c>
      <c r="B612" s="1" t="n">
        <v>45292</v>
      </c>
      <c r="C612" t="inlineStr">
        <is>
          <t>West</t>
        </is>
      </c>
      <c r="D612" t="inlineStr">
        <is>
          <t>CA</t>
        </is>
      </c>
      <c r="E612" t="inlineStr">
        <is>
          <t>Los Angeles</t>
        </is>
      </c>
      <c r="F612" t="inlineStr">
        <is>
          <t>Online</t>
        </is>
      </c>
      <c r="G612" t="inlineStr">
        <is>
          <t>Consumer</t>
        </is>
      </c>
      <c r="H612" t="inlineStr">
        <is>
          <t>Technology</t>
        </is>
      </c>
      <c r="I612" t="inlineStr">
        <is>
          <t>Keyboard</t>
        </is>
      </c>
      <c r="J612" s="2" t="n">
        <v>2</v>
      </c>
      <c r="K612" s="3" t="n">
        <v>38.55</v>
      </c>
      <c r="L612" s="3" t="n">
        <v>77.09999999999999</v>
      </c>
      <c r="M612" s="3" t="n">
        <v>58.22</v>
      </c>
      <c r="N612" s="3" t="n">
        <v>18.88</v>
      </c>
    </row>
    <row r="613">
      <c r="A613" t="inlineStr">
        <is>
          <t>SO-2404-10611</t>
        </is>
      </c>
      <c r="B613" s="1" t="n">
        <v>45384</v>
      </c>
      <c r="C613" t="inlineStr">
        <is>
          <t>West</t>
        </is>
      </c>
      <c r="D613" t="inlineStr">
        <is>
          <t>AZ</t>
        </is>
      </c>
      <c r="E613" t="inlineStr">
        <is>
          <t>Phoenix</t>
        </is>
      </c>
      <c r="F613" t="inlineStr">
        <is>
          <t>Online</t>
        </is>
      </c>
      <c r="G613" t="inlineStr">
        <is>
          <t>Corporate</t>
        </is>
      </c>
      <c r="H613" t="inlineStr">
        <is>
          <t>Office Supplies</t>
        </is>
      </c>
      <c r="I613" t="inlineStr">
        <is>
          <t>Paper</t>
        </is>
      </c>
      <c r="J613" s="2" t="n">
        <v>3</v>
      </c>
      <c r="K613" s="3" t="n">
        <v>7.19</v>
      </c>
      <c r="L613" s="3" t="n">
        <v>21.57</v>
      </c>
      <c r="M613" s="3" t="n">
        <v>13.36</v>
      </c>
      <c r="N613" s="3" t="n">
        <v>8.210000000000001</v>
      </c>
    </row>
    <row r="614">
      <c r="A614" t="inlineStr">
        <is>
          <t>SO-2508-10612</t>
        </is>
      </c>
      <c r="B614" s="1" t="n">
        <v>45897</v>
      </c>
      <c r="C614" t="inlineStr">
        <is>
          <t>Midwest</t>
        </is>
      </c>
      <c r="D614" t="inlineStr">
        <is>
          <t>OH</t>
        </is>
      </c>
      <c r="E614" t="inlineStr">
        <is>
          <t>Columbus</t>
        </is>
      </c>
      <c r="F614" t="inlineStr">
        <is>
          <t>Online</t>
        </is>
      </c>
      <c r="G614" t="inlineStr">
        <is>
          <t>Small Business</t>
        </is>
      </c>
      <c r="H614" t="inlineStr">
        <is>
          <t>Office Supplies</t>
        </is>
      </c>
      <c r="I614" t="inlineStr">
        <is>
          <t>Binders</t>
        </is>
      </c>
      <c r="J614" s="2" t="n">
        <v>5</v>
      </c>
      <c r="K614" s="3" t="n">
        <v>10.21</v>
      </c>
      <c r="L614" s="3" t="n">
        <v>51.05</v>
      </c>
      <c r="M614" s="3" t="n">
        <v>28.32</v>
      </c>
      <c r="N614" s="3" t="n">
        <v>22.73</v>
      </c>
    </row>
    <row r="615">
      <c r="A615" t="inlineStr">
        <is>
          <t>SO-2404-10613</t>
        </is>
      </c>
      <c r="B615" s="1" t="n">
        <v>45384</v>
      </c>
      <c r="C615" t="inlineStr">
        <is>
          <t>West</t>
        </is>
      </c>
      <c r="D615" t="inlineStr">
        <is>
          <t>WA</t>
        </is>
      </c>
      <c r="E615" t="inlineStr">
        <is>
          <t>Seattle</t>
        </is>
      </c>
      <c r="F615" t="inlineStr">
        <is>
          <t>Partner</t>
        </is>
      </c>
      <c r="G615" t="inlineStr">
        <is>
          <t>Small Business</t>
        </is>
      </c>
      <c r="H615" t="inlineStr">
        <is>
          <t>Technology</t>
        </is>
      </c>
      <c r="I615" t="inlineStr">
        <is>
          <t>Keyboard</t>
        </is>
      </c>
      <c r="J615" s="2" t="n">
        <v>4</v>
      </c>
      <c r="K615" s="3" t="n">
        <v>44.73</v>
      </c>
      <c r="L615" s="3" t="n">
        <v>178.92</v>
      </c>
      <c r="M615" s="3" t="n">
        <v>118.49</v>
      </c>
      <c r="N615" s="3" t="n">
        <v>60.43</v>
      </c>
    </row>
    <row r="616">
      <c r="A616" t="inlineStr">
        <is>
          <t>SO-2404-10614</t>
        </is>
      </c>
      <c r="B616" s="1" t="n">
        <v>45396</v>
      </c>
      <c r="C616" t="inlineStr">
        <is>
          <t>Midwest</t>
        </is>
      </c>
      <c r="D616" t="inlineStr">
        <is>
          <t>MN</t>
        </is>
      </c>
      <c r="E616" t="inlineStr">
        <is>
          <t>Minneapolis</t>
        </is>
      </c>
      <c r="F616" t="inlineStr">
        <is>
          <t>Online</t>
        </is>
      </c>
      <c r="G616" t="inlineStr">
        <is>
          <t>Corporate</t>
        </is>
      </c>
      <c r="H616" t="inlineStr">
        <is>
          <t>Office Supplies</t>
        </is>
      </c>
      <c r="I616" t="inlineStr">
        <is>
          <t>Binders</t>
        </is>
      </c>
      <c r="J616" s="2" t="n">
        <v>3</v>
      </c>
      <c r="K616" s="3" t="n">
        <v>10.19</v>
      </c>
      <c r="L616" s="3" t="n">
        <v>30.57</v>
      </c>
      <c r="M616" s="3" t="n">
        <v>18.31</v>
      </c>
      <c r="N616" s="3" t="n">
        <v>12.26</v>
      </c>
    </row>
    <row r="617">
      <c r="A617" t="inlineStr">
        <is>
          <t>SO-2508-10615</t>
        </is>
      </c>
      <c r="B617" s="1" t="n">
        <v>45872</v>
      </c>
      <c r="C617" t="inlineStr">
        <is>
          <t>Midwest</t>
        </is>
      </c>
      <c r="D617" t="inlineStr">
        <is>
          <t>MI</t>
        </is>
      </c>
      <c r="E617" t="inlineStr">
        <is>
          <t>Detroit</t>
        </is>
      </c>
      <c r="F617" t="inlineStr">
        <is>
          <t>In-Store</t>
        </is>
      </c>
      <c r="G617" t="inlineStr">
        <is>
          <t>Consumer</t>
        </is>
      </c>
      <c r="H617" t="inlineStr">
        <is>
          <t>Furniture</t>
        </is>
      </c>
      <c r="I617" t="inlineStr">
        <is>
          <t>Bookshelf</t>
        </is>
      </c>
      <c r="J617" s="2" t="n">
        <v>4</v>
      </c>
      <c r="K617" s="3" t="n">
        <v>101.8</v>
      </c>
      <c r="L617" s="3" t="n">
        <v>407.2</v>
      </c>
      <c r="M617" s="3" t="n">
        <v>268.14</v>
      </c>
      <c r="N617" s="3" t="n">
        <v>139.06</v>
      </c>
    </row>
    <row r="618">
      <c r="A618" t="inlineStr">
        <is>
          <t>SO-2412-10616</t>
        </is>
      </c>
      <c r="B618" s="1" t="n">
        <v>45633</v>
      </c>
      <c r="C618" t="inlineStr">
        <is>
          <t>Northeast</t>
        </is>
      </c>
      <c r="D618" t="inlineStr">
        <is>
          <t>NY</t>
        </is>
      </c>
      <c r="E618" t="inlineStr">
        <is>
          <t>New York</t>
        </is>
      </c>
      <c r="F618" t="inlineStr">
        <is>
          <t>Partner</t>
        </is>
      </c>
      <c r="G618" t="inlineStr">
        <is>
          <t>Corporate</t>
        </is>
      </c>
      <c r="H618" t="inlineStr">
        <is>
          <t>Office Supplies</t>
        </is>
      </c>
      <c r="I618" t="inlineStr">
        <is>
          <t>Pens</t>
        </is>
      </c>
      <c r="J618" s="2" t="n">
        <v>2</v>
      </c>
      <c r="K618" s="3" t="n">
        <v>4.1</v>
      </c>
      <c r="L618" s="3" t="n">
        <v>8.199999999999999</v>
      </c>
      <c r="M618" s="3" t="n">
        <v>4.77</v>
      </c>
      <c r="N618" s="3" t="n">
        <v>3.43</v>
      </c>
    </row>
    <row r="619">
      <c r="A619" t="inlineStr">
        <is>
          <t>SO-2402-10617</t>
        </is>
      </c>
      <c r="B619" s="1" t="n">
        <v>45323</v>
      </c>
      <c r="C619" t="inlineStr">
        <is>
          <t>West</t>
        </is>
      </c>
      <c r="D619" t="inlineStr">
        <is>
          <t>CA</t>
        </is>
      </c>
      <c r="E619" t="inlineStr">
        <is>
          <t>Los Angeles</t>
        </is>
      </c>
      <c r="F619" t="inlineStr">
        <is>
          <t>Online</t>
        </is>
      </c>
      <c r="G619" t="inlineStr">
        <is>
          <t>Corporate</t>
        </is>
      </c>
      <c r="H619" t="inlineStr">
        <is>
          <t>Furniture</t>
        </is>
      </c>
      <c r="I619" t="inlineStr">
        <is>
          <t>Standing Desk</t>
        </is>
      </c>
      <c r="J619" s="2" t="n">
        <v>3</v>
      </c>
      <c r="K619" s="3" t="n">
        <v>328.21</v>
      </c>
      <c r="L619" s="3" t="n">
        <v>984.63</v>
      </c>
      <c r="M619" s="3" t="n">
        <v>582.34</v>
      </c>
      <c r="N619" s="3" t="n">
        <v>402.29</v>
      </c>
    </row>
    <row r="620">
      <c r="A620" t="inlineStr">
        <is>
          <t>SO-2411-10618</t>
        </is>
      </c>
      <c r="B620" s="1" t="n">
        <v>45604</v>
      </c>
      <c r="C620" t="inlineStr">
        <is>
          <t>West</t>
        </is>
      </c>
      <c r="D620" t="inlineStr">
        <is>
          <t>CA</t>
        </is>
      </c>
      <c r="E620" t="inlineStr">
        <is>
          <t>Los Angeles</t>
        </is>
      </c>
      <c r="F620" t="inlineStr">
        <is>
          <t>Partner</t>
        </is>
      </c>
      <c r="G620" t="inlineStr">
        <is>
          <t>Corporate</t>
        </is>
      </c>
      <c r="H620" t="inlineStr">
        <is>
          <t>Technology</t>
        </is>
      </c>
      <c r="I620" t="inlineStr">
        <is>
          <t>Keyboard</t>
        </is>
      </c>
      <c r="J620" s="2" t="n">
        <v>5</v>
      </c>
      <c r="K620" s="3" t="n">
        <v>44.19</v>
      </c>
      <c r="L620" s="3" t="n">
        <v>220.95</v>
      </c>
      <c r="M620" s="3" t="n">
        <v>155.89</v>
      </c>
      <c r="N620" s="3" t="n">
        <v>65.06</v>
      </c>
    </row>
    <row r="621">
      <c r="A621" t="inlineStr">
        <is>
          <t>SO-2412-10619</t>
        </is>
      </c>
      <c r="B621" s="1" t="n">
        <v>45635</v>
      </c>
      <c r="C621" t="inlineStr">
        <is>
          <t>West</t>
        </is>
      </c>
      <c r="D621" t="inlineStr">
        <is>
          <t>CO</t>
        </is>
      </c>
      <c r="E621" t="inlineStr">
        <is>
          <t>Denver</t>
        </is>
      </c>
      <c r="F621" t="inlineStr">
        <is>
          <t>Online</t>
        </is>
      </c>
      <c r="G621" t="inlineStr">
        <is>
          <t>Consumer</t>
        </is>
      </c>
      <c r="H621" t="inlineStr">
        <is>
          <t>Office Supplies</t>
        </is>
      </c>
      <c r="I621" t="inlineStr">
        <is>
          <t>Paper</t>
        </is>
      </c>
      <c r="J621" s="2" t="n">
        <v>5</v>
      </c>
      <c r="K621" s="3" t="n">
        <v>6.62</v>
      </c>
      <c r="L621" s="3" t="n">
        <v>33.1</v>
      </c>
      <c r="M621" s="3" t="n">
        <v>21.22</v>
      </c>
      <c r="N621" s="3" t="n">
        <v>11.88</v>
      </c>
    </row>
    <row r="622">
      <c r="A622" t="inlineStr">
        <is>
          <t>SO-2508-10620</t>
        </is>
      </c>
      <c r="B622" s="1" t="n">
        <v>45886</v>
      </c>
      <c r="C622" t="inlineStr">
        <is>
          <t>South</t>
        </is>
      </c>
      <c r="D622" t="inlineStr">
        <is>
          <t>GA</t>
        </is>
      </c>
      <c r="E622" t="inlineStr">
        <is>
          <t>Atlanta</t>
        </is>
      </c>
      <c r="F622" t="inlineStr">
        <is>
          <t>In-Store</t>
        </is>
      </c>
      <c r="G622" t="inlineStr">
        <is>
          <t>Consumer</t>
        </is>
      </c>
      <c r="H622" t="inlineStr">
        <is>
          <t>Technology</t>
        </is>
      </c>
      <c r="I622" t="inlineStr">
        <is>
          <t>Laptop Stand</t>
        </is>
      </c>
      <c r="J622" s="2" t="n">
        <v>2</v>
      </c>
      <c r="K622" s="3" t="n">
        <v>31.77</v>
      </c>
      <c r="L622" s="3" t="n">
        <v>63.54</v>
      </c>
      <c r="M622" s="3" t="n">
        <v>47.7</v>
      </c>
      <c r="N622" s="3" t="n">
        <v>15.84</v>
      </c>
    </row>
    <row r="623">
      <c r="A623" t="inlineStr">
        <is>
          <t>SO-2511-10621</t>
        </is>
      </c>
      <c r="B623" s="1" t="n">
        <v>45966</v>
      </c>
      <c r="C623" t="inlineStr">
        <is>
          <t>West</t>
        </is>
      </c>
      <c r="D623" t="inlineStr">
        <is>
          <t>AZ</t>
        </is>
      </c>
      <c r="E623" t="inlineStr">
        <is>
          <t>Phoenix</t>
        </is>
      </c>
      <c r="F623" t="inlineStr">
        <is>
          <t>Online</t>
        </is>
      </c>
      <c r="G623" t="inlineStr">
        <is>
          <t>Corporate</t>
        </is>
      </c>
      <c r="H623" t="inlineStr">
        <is>
          <t>Technology</t>
        </is>
      </c>
      <c r="I623" t="inlineStr">
        <is>
          <t>Mouse</t>
        </is>
      </c>
      <c r="J623" s="2" t="n">
        <v>3</v>
      </c>
      <c r="K623" s="3" t="n">
        <v>19.99</v>
      </c>
      <c r="L623" s="3" t="n">
        <v>59.97</v>
      </c>
      <c r="M623" s="3" t="n">
        <v>37.1</v>
      </c>
      <c r="N623" s="3" t="n">
        <v>22.87</v>
      </c>
    </row>
    <row r="624">
      <c r="A624" t="inlineStr">
        <is>
          <t>SO-2503-10622</t>
        </is>
      </c>
      <c r="B624" s="1" t="n">
        <v>45723</v>
      </c>
      <c r="C624" t="inlineStr">
        <is>
          <t>West</t>
        </is>
      </c>
      <c r="D624" t="inlineStr">
        <is>
          <t>CA</t>
        </is>
      </c>
      <c r="E624" t="inlineStr">
        <is>
          <t>Los Angeles</t>
        </is>
      </c>
      <c r="F624" t="inlineStr">
        <is>
          <t>Partner</t>
        </is>
      </c>
      <c r="G624" t="inlineStr">
        <is>
          <t>Small Business</t>
        </is>
      </c>
      <c r="H624" t="inlineStr">
        <is>
          <t>Office Supplies</t>
        </is>
      </c>
      <c r="I624" t="inlineStr">
        <is>
          <t>Stapler</t>
        </is>
      </c>
      <c r="J624" s="2" t="n">
        <v>3</v>
      </c>
      <c r="K624" s="3" t="n">
        <v>14.44</v>
      </c>
      <c r="L624" s="3" t="n">
        <v>43.32</v>
      </c>
      <c r="M624" s="3" t="n">
        <v>30.24</v>
      </c>
      <c r="N624" s="3" t="n">
        <v>13.08</v>
      </c>
    </row>
    <row r="625">
      <c r="A625" t="inlineStr">
        <is>
          <t>SO-2509-10623</t>
        </is>
      </c>
      <c r="B625" s="1" t="n">
        <v>45909</v>
      </c>
      <c r="C625" t="inlineStr">
        <is>
          <t>Midwest</t>
        </is>
      </c>
      <c r="D625" t="inlineStr">
        <is>
          <t>IL</t>
        </is>
      </c>
      <c r="E625" t="inlineStr">
        <is>
          <t>Chicago</t>
        </is>
      </c>
      <c r="F625" t="inlineStr">
        <is>
          <t>Partner</t>
        </is>
      </c>
      <c r="G625" t="inlineStr">
        <is>
          <t>Consumer</t>
        </is>
      </c>
      <c r="H625" t="inlineStr">
        <is>
          <t>Technology</t>
        </is>
      </c>
      <c r="I625" t="inlineStr">
        <is>
          <t>Keyboard</t>
        </is>
      </c>
      <c r="J625" s="2" t="n">
        <v>2</v>
      </c>
      <c r="K625" s="3" t="n">
        <v>38.21</v>
      </c>
      <c r="L625" s="3" t="n">
        <v>76.42</v>
      </c>
      <c r="M625" s="3" t="n">
        <v>47.28</v>
      </c>
      <c r="N625" s="3" t="n">
        <v>29.14</v>
      </c>
    </row>
    <row r="626">
      <c r="A626" t="inlineStr">
        <is>
          <t>SO-2511-10624</t>
        </is>
      </c>
      <c r="B626" s="1" t="n">
        <v>45967</v>
      </c>
      <c r="C626" t="inlineStr">
        <is>
          <t>Midwest</t>
        </is>
      </c>
      <c r="D626" t="inlineStr">
        <is>
          <t>MI</t>
        </is>
      </c>
      <c r="E626" t="inlineStr">
        <is>
          <t>Detroit</t>
        </is>
      </c>
      <c r="F626" t="inlineStr">
        <is>
          <t>Online</t>
        </is>
      </c>
      <c r="G626" t="inlineStr">
        <is>
          <t>Corporate</t>
        </is>
      </c>
      <c r="H626" t="inlineStr">
        <is>
          <t>Furniture</t>
        </is>
      </c>
      <c r="I626" t="inlineStr">
        <is>
          <t>Standing Desk</t>
        </is>
      </c>
      <c r="J626" s="2" t="n">
        <v>2</v>
      </c>
      <c r="K626" s="3" t="n">
        <v>338.54</v>
      </c>
      <c r="L626" s="3" t="n">
        <v>677.08</v>
      </c>
      <c r="M626" s="3" t="n">
        <v>457.86</v>
      </c>
      <c r="N626" s="3" t="n">
        <v>219.22</v>
      </c>
    </row>
    <row r="627">
      <c r="A627" t="inlineStr">
        <is>
          <t>SO-2511-10625</t>
        </is>
      </c>
      <c r="B627" s="1" t="n">
        <v>45974</v>
      </c>
      <c r="C627" t="inlineStr">
        <is>
          <t>West</t>
        </is>
      </c>
      <c r="D627" t="inlineStr">
        <is>
          <t>WA</t>
        </is>
      </c>
      <c r="E627" t="inlineStr">
        <is>
          <t>Seattle</t>
        </is>
      </c>
      <c r="F627" t="inlineStr">
        <is>
          <t>Online</t>
        </is>
      </c>
      <c r="G627" t="inlineStr">
        <is>
          <t>Consumer</t>
        </is>
      </c>
      <c r="H627" t="inlineStr">
        <is>
          <t>Furniture</t>
        </is>
      </c>
      <c r="I627" t="inlineStr">
        <is>
          <t>Filing Cabinet</t>
        </is>
      </c>
      <c r="J627" s="2" t="n">
        <v>3</v>
      </c>
      <c r="K627" s="3" t="n">
        <v>150.58</v>
      </c>
      <c r="L627" s="3" t="n">
        <v>451.74</v>
      </c>
      <c r="M627" s="3" t="n">
        <v>284.24</v>
      </c>
      <c r="N627" s="3" t="n">
        <v>167.5</v>
      </c>
    </row>
    <row r="628">
      <c r="A628" t="inlineStr">
        <is>
          <t>SO-2408-10626</t>
        </is>
      </c>
      <c r="B628" s="1" t="n">
        <v>45523</v>
      </c>
      <c r="C628" t="inlineStr">
        <is>
          <t>Midwest</t>
        </is>
      </c>
      <c r="D628" t="inlineStr">
        <is>
          <t>IL</t>
        </is>
      </c>
      <c r="E628" t="inlineStr">
        <is>
          <t>Chicago</t>
        </is>
      </c>
      <c r="F628" t="inlineStr">
        <is>
          <t>Partner</t>
        </is>
      </c>
      <c r="G628" t="inlineStr">
        <is>
          <t>Small Business</t>
        </is>
      </c>
      <c r="H628" t="inlineStr">
        <is>
          <t>Office Supplies</t>
        </is>
      </c>
      <c r="I628" t="inlineStr">
        <is>
          <t>Paper</t>
        </is>
      </c>
      <c r="J628" s="2" t="n">
        <v>2</v>
      </c>
      <c r="K628" s="3" t="n">
        <v>7.85</v>
      </c>
      <c r="L628" s="3" t="n">
        <v>15.7</v>
      </c>
      <c r="M628" s="3" t="n">
        <v>9.02</v>
      </c>
      <c r="N628" s="3" t="n">
        <v>6.68</v>
      </c>
    </row>
    <row r="629">
      <c r="A629" t="inlineStr">
        <is>
          <t>SO-2504-10627</t>
        </is>
      </c>
      <c r="B629" s="1" t="n">
        <v>45751</v>
      </c>
      <c r="C629" t="inlineStr">
        <is>
          <t>Midwest</t>
        </is>
      </c>
      <c r="D629" t="inlineStr">
        <is>
          <t>OH</t>
        </is>
      </c>
      <c r="E629" t="inlineStr">
        <is>
          <t>Columbus</t>
        </is>
      </c>
      <c r="F629" t="inlineStr">
        <is>
          <t>Online</t>
        </is>
      </c>
      <c r="G629" t="inlineStr">
        <is>
          <t>Small Business</t>
        </is>
      </c>
      <c r="H629" t="inlineStr">
        <is>
          <t>Office Supplies</t>
        </is>
      </c>
      <c r="I629" t="inlineStr">
        <is>
          <t>Pens</t>
        </is>
      </c>
      <c r="J629" s="2" t="n">
        <v>3</v>
      </c>
      <c r="K629" s="3" t="n">
        <v>4.41</v>
      </c>
      <c r="L629" s="3" t="n">
        <v>13.23</v>
      </c>
      <c r="M629" s="3" t="n">
        <v>9.039999999999999</v>
      </c>
      <c r="N629" s="3" t="n">
        <v>4.19</v>
      </c>
    </row>
    <row r="630">
      <c r="A630" t="inlineStr">
        <is>
          <t>SO-2401-10628</t>
        </is>
      </c>
      <c r="B630" s="1" t="n">
        <v>45292</v>
      </c>
      <c r="C630" t="inlineStr">
        <is>
          <t>Midwest</t>
        </is>
      </c>
      <c r="D630" t="inlineStr">
        <is>
          <t>MI</t>
        </is>
      </c>
      <c r="E630" t="inlineStr">
        <is>
          <t>Detroit</t>
        </is>
      </c>
      <c r="F630" t="inlineStr">
        <is>
          <t>In-Store</t>
        </is>
      </c>
      <c r="G630" t="inlineStr">
        <is>
          <t>Small Business</t>
        </is>
      </c>
      <c r="H630" t="inlineStr">
        <is>
          <t>Office Supplies</t>
        </is>
      </c>
      <c r="I630" t="inlineStr">
        <is>
          <t>Binders</t>
        </is>
      </c>
      <c r="J630" s="2" t="n">
        <v>4</v>
      </c>
      <c r="K630" s="3" t="n">
        <v>10.88</v>
      </c>
      <c r="L630" s="3" t="n">
        <v>43.52</v>
      </c>
      <c r="M630" s="3" t="n">
        <v>24.28</v>
      </c>
      <c r="N630" s="3" t="n">
        <v>19.24</v>
      </c>
    </row>
    <row r="631">
      <c r="A631" t="inlineStr">
        <is>
          <t>SO-2508-10629</t>
        </is>
      </c>
      <c r="B631" s="1" t="n">
        <v>45886</v>
      </c>
      <c r="C631" t="inlineStr">
        <is>
          <t>South</t>
        </is>
      </c>
      <c r="D631" t="inlineStr">
        <is>
          <t>FL</t>
        </is>
      </c>
      <c r="E631" t="inlineStr">
        <is>
          <t>Miami</t>
        </is>
      </c>
      <c r="F631" t="inlineStr">
        <is>
          <t>Online</t>
        </is>
      </c>
      <c r="G631" t="inlineStr">
        <is>
          <t>Corporate</t>
        </is>
      </c>
      <c r="H631" t="inlineStr">
        <is>
          <t>Technology</t>
        </is>
      </c>
      <c r="I631" t="inlineStr">
        <is>
          <t>Mouse</t>
        </is>
      </c>
      <c r="J631" s="2" t="n">
        <v>3</v>
      </c>
      <c r="K631" s="3" t="n">
        <v>17.93</v>
      </c>
      <c r="L631" s="3" t="n">
        <v>53.79</v>
      </c>
      <c r="M631" s="3" t="n">
        <v>35.21</v>
      </c>
      <c r="N631" s="3" t="n">
        <v>18.58</v>
      </c>
    </row>
    <row r="632">
      <c r="A632" t="inlineStr">
        <is>
          <t>SO-2402-10630</t>
        </is>
      </c>
      <c r="B632" s="1" t="n">
        <v>45347</v>
      </c>
      <c r="C632" t="inlineStr">
        <is>
          <t>Northeast</t>
        </is>
      </c>
      <c r="D632" t="inlineStr">
        <is>
          <t>NJ</t>
        </is>
      </c>
      <c r="E632" t="inlineStr">
        <is>
          <t>Newark</t>
        </is>
      </c>
      <c r="F632" t="inlineStr">
        <is>
          <t>In-Store</t>
        </is>
      </c>
      <c r="G632" t="inlineStr">
        <is>
          <t>Consumer</t>
        </is>
      </c>
      <c r="H632" t="inlineStr">
        <is>
          <t>Office Supplies</t>
        </is>
      </c>
      <c r="I632" t="inlineStr">
        <is>
          <t>Pens</t>
        </is>
      </c>
      <c r="J632" s="2" t="n">
        <v>1</v>
      </c>
      <c r="K632" s="3" t="n">
        <v>5.01</v>
      </c>
      <c r="L632" s="3" t="n">
        <v>5.01</v>
      </c>
      <c r="M632" s="3" t="n">
        <v>2.87</v>
      </c>
      <c r="N632" s="3" t="n">
        <v>2.14</v>
      </c>
    </row>
    <row r="633">
      <c r="A633" t="inlineStr">
        <is>
          <t>SO-2502-10631</t>
        </is>
      </c>
      <c r="B633" s="1" t="n">
        <v>45694</v>
      </c>
      <c r="C633" t="inlineStr">
        <is>
          <t>Northeast</t>
        </is>
      </c>
      <c r="D633" t="inlineStr">
        <is>
          <t>NJ</t>
        </is>
      </c>
      <c r="E633" t="inlineStr">
        <is>
          <t>Newark</t>
        </is>
      </c>
      <c r="F633" t="inlineStr">
        <is>
          <t>Partner</t>
        </is>
      </c>
      <c r="G633" t="inlineStr">
        <is>
          <t>Consumer</t>
        </is>
      </c>
      <c r="H633" t="inlineStr">
        <is>
          <t>Furniture</t>
        </is>
      </c>
      <c r="I633" t="inlineStr">
        <is>
          <t>Bookshelf</t>
        </is>
      </c>
      <c r="J633" s="2" t="n">
        <v>2</v>
      </c>
      <c r="K633" s="3" t="n">
        <v>102.89</v>
      </c>
      <c r="L633" s="3" t="n">
        <v>205.78</v>
      </c>
      <c r="M633" s="3" t="n">
        <v>144.06</v>
      </c>
      <c r="N633" s="3" t="n">
        <v>61.72</v>
      </c>
    </row>
    <row r="634">
      <c r="A634" t="inlineStr">
        <is>
          <t>SO-2512-10632</t>
        </is>
      </c>
      <c r="B634" s="1" t="n">
        <v>46005</v>
      </c>
      <c r="C634" t="inlineStr">
        <is>
          <t>West</t>
        </is>
      </c>
      <c r="D634" t="inlineStr">
        <is>
          <t>AZ</t>
        </is>
      </c>
      <c r="E634" t="inlineStr">
        <is>
          <t>Phoenix</t>
        </is>
      </c>
      <c r="F634" t="inlineStr">
        <is>
          <t>Online</t>
        </is>
      </c>
      <c r="G634" t="inlineStr">
        <is>
          <t>Small Business</t>
        </is>
      </c>
      <c r="H634" t="inlineStr">
        <is>
          <t>Technology</t>
        </is>
      </c>
      <c r="I634" t="inlineStr">
        <is>
          <t>Keyboard</t>
        </is>
      </c>
      <c r="J634" s="2" t="n">
        <v>3</v>
      </c>
      <c r="K634" s="3" t="n">
        <v>35.62</v>
      </c>
      <c r="L634" s="3" t="n">
        <v>106.86</v>
      </c>
      <c r="M634" s="3" t="n">
        <v>81.22</v>
      </c>
      <c r="N634" s="3" t="n">
        <v>25.64</v>
      </c>
    </row>
    <row r="635">
      <c r="A635" t="inlineStr">
        <is>
          <t>SO-2504-10633</t>
        </is>
      </c>
      <c r="B635" s="1" t="n">
        <v>45769</v>
      </c>
      <c r="C635" t="inlineStr">
        <is>
          <t>South</t>
        </is>
      </c>
      <c r="D635" t="inlineStr">
        <is>
          <t>AL</t>
        </is>
      </c>
      <c r="E635" t="inlineStr">
        <is>
          <t>Birmingham</t>
        </is>
      </c>
      <c r="F635" t="inlineStr">
        <is>
          <t>Partner</t>
        </is>
      </c>
      <c r="G635" t="inlineStr">
        <is>
          <t>Consumer</t>
        </is>
      </c>
      <c r="H635" t="inlineStr">
        <is>
          <t>Technology</t>
        </is>
      </c>
      <c r="I635" t="inlineStr">
        <is>
          <t>Mouse</t>
        </is>
      </c>
      <c r="J635" s="2" t="n">
        <v>4</v>
      </c>
      <c r="K635" s="3" t="n">
        <v>18.83</v>
      </c>
      <c r="L635" s="3" t="n">
        <v>75.31999999999999</v>
      </c>
      <c r="M635" s="3" t="n">
        <v>49.01</v>
      </c>
      <c r="N635" s="3" t="n">
        <v>26.31</v>
      </c>
    </row>
    <row r="636">
      <c r="A636" t="inlineStr">
        <is>
          <t>SO-2401-10634</t>
        </is>
      </c>
      <c r="B636" s="1" t="n">
        <v>45298</v>
      </c>
      <c r="C636" t="inlineStr">
        <is>
          <t>West</t>
        </is>
      </c>
      <c r="D636" t="inlineStr">
        <is>
          <t>CA</t>
        </is>
      </c>
      <c r="E636" t="inlineStr">
        <is>
          <t>Los Angeles</t>
        </is>
      </c>
      <c r="F636" t="inlineStr">
        <is>
          <t>Online</t>
        </is>
      </c>
      <c r="G636" t="inlineStr">
        <is>
          <t>Small Business</t>
        </is>
      </c>
      <c r="H636" t="inlineStr">
        <is>
          <t>Office Supplies</t>
        </is>
      </c>
      <c r="I636" t="inlineStr">
        <is>
          <t>Binders</t>
        </is>
      </c>
      <c r="J636" s="2" t="n">
        <v>1</v>
      </c>
      <c r="K636" s="3" t="n">
        <v>9.699999999999999</v>
      </c>
      <c r="L636" s="3" t="n">
        <v>9.699999999999999</v>
      </c>
      <c r="M636" s="3" t="n">
        <v>5.6</v>
      </c>
      <c r="N636" s="3" t="n">
        <v>4.1</v>
      </c>
    </row>
    <row r="637">
      <c r="A637" t="inlineStr">
        <is>
          <t>SO-2404-10635</t>
        </is>
      </c>
      <c r="B637" s="1" t="n">
        <v>45411</v>
      </c>
      <c r="C637" t="inlineStr">
        <is>
          <t>West</t>
        </is>
      </c>
      <c r="D637" t="inlineStr">
        <is>
          <t>CA</t>
        </is>
      </c>
      <c r="E637" t="inlineStr">
        <is>
          <t>Los Angeles</t>
        </is>
      </c>
      <c r="F637" t="inlineStr">
        <is>
          <t>Online</t>
        </is>
      </c>
      <c r="G637" t="inlineStr">
        <is>
          <t>Corporate</t>
        </is>
      </c>
      <c r="H637" t="inlineStr">
        <is>
          <t>Office Supplies</t>
        </is>
      </c>
      <c r="I637" t="inlineStr">
        <is>
          <t>Pens</t>
        </is>
      </c>
      <c r="J637" s="2" t="n">
        <v>4</v>
      </c>
      <c r="K637" s="3" t="n">
        <v>4.43</v>
      </c>
      <c r="L637" s="3" t="n">
        <v>17.72</v>
      </c>
      <c r="M637" s="3" t="n">
        <v>9.890000000000001</v>
      </c>
      <c r="N637" s="3" t="n">
        <v>7.83</v>
      </c>
    </row>
    <row r="638">
      <c r="A638" t="inlineStr">
        <is>
          <t>SO-2405-10636</t>
        </is>
      </c>
      <c r="B638" s="1" t="n">
        <v>45422</v>
      </c>
      <c r="C638" t="inlineStr">
        <is>
          <t>Midwest</t>
        </is>
      </c>
      <c r="D638" t="inlineStr">
        <is>
          <t>OH</t>
        </is>
      </c>
      <c r="E638" t="inlineStr">
        <is>
          <t>Columbus</t>
        </is>
      </c>
      <c r="F638" t="inlineStr">
        <is>
          <t>In-Store</t>
        </is>
      </c>
      <c r="G638" t="inlineStr">
        <is>
          <t>Consumer</t>
        </is>
      </c>
      <c r="H638" t="inlineStr">
        <is>
          <t>Office Supplies</t>
        </is>
      </c>
      <c r="I638" t="inlineStr">
        <is>
          <t>Stapler</t>
        </is>
      </c>
      <c r="J638" s="2" t="n">
        <v>3</v>
      </c>
      <c r="K638" s="3" t="n">
        <v>13.82</v>
      </c>
      <c r="L638" s="3" t="n">
        <v>41.46</v>
      </c>
      <c r="M638" s="3" t="n">
        <v>27.68</v>
      </c>
      <c r="N638" s="3" t="n">
        <v>13.78</v>
      </c>
    </row>
    <row r="639">
      <c r="A639" t="inlineStr">
        <is>
          <t>SO-2510-10637</t>
        </is>
      </c>
      <c r="B639" s="1" t="n">
        <v>45945</v>
      </c>
      <c r="C639" t="inlineStr">
        <is>
          <t>Midwest</t>
        </is>
      </c>
      <c r="D639" t="inlineStr">
        <is>
          <t>MN</t>
        </is>
      </c>
      <c r="E639" t="inlineStr">
        <is>
          <t>Minneapolis</t>
        </is>
      </c>
      <c r="F639" t="inlineStr">
        <is>
          <t>In-Store</t>
        </is>
      </c>
      <c r="G639" t="inlineStr">
        <is>
          <t>Corporate</t>
        </is>
      </c>
      <c r="H639" t="inlineStr">
        <is>
          <t>Technology</t>
        </is>
      </c>
      <c r="I639" t="inlineStr">
        <is>
          <t>Monitor</t>
        </is>
      </c>
      <c r="J639" s="2" t="n">
        <v>3</v>
      </c>
      <c r="K639" s="3" t="n">
        <v>192.91</v>
      </c>
      <c r="L639" s="3" t="n">
        <v>578.73</v>
      </c>
      <c r="M639" s="3" t="n">
        <v>381.13</v>
      </c>
      <c r="N639" s="3" t="n">
        <v>197.6</v>
      </c>
    </row>
    <row r="640">
      <c r="A640" t="inlineStr">
        <is>
          <t>SO-2502-10638</t>
        </is>
      </c>
      <c r="B640" s="1" t="n">
        <v>45696</v>
      </c>
      <c r="C640" t="inlineStr">
        <is>
          <t>West</t>
        </is>
      </c>
      <c r="D640" t="inlineStr">
        <is>
          <t>CA</t>
        </is>
      </c>
      <c r="E640" t="inlineStr">
        <is>
          <t>Los Angeles</t>
        </is>
      </c>
      <c r="F640" t="inlineStr">
        <is>
          <t>Online</t>
        </is>
      </c>
      <c r="G640" t="inlineStr">
        <is>
          <t>Consumer</t>
        </is>
      </c>
      <c r="H640" t="inlineStr">
        <is>
          <t>Office Supplies</t>
        </is>
      </c>
      <c r="I640" t="inlineStr">
        <is>
          <t>Stapler</t>
        </is>
      </c>
      <c r="J640" s="2" t="n">
        <v>4</v>
      </c>
      <c r="K640" s="3" t="n">
        <v>11.29</v>
      </c>
      <c r="L640" s="3" t="n">
        <v>45.16</v>
      </c>
      <c r="M640" s="3" t="n">
        <v>27.85</v>
      </c>
      <c r="N640" s="3" t="n">
        <v>17.31</v>
      </c>
    </row>
    <row r="641">
      <c r="A641" t="inlineStr">
        <is>
          <t>SO-2501-10639</t>
        </is>
      </c>
      <c r="B641" s="1" t="n">
        <v>45677</v>
      </c>
      <c r="C641" t="inlineStr">
        <is>
          <t>Northeast</t>
        </is>
      </c>
      <c r="D641" t="inlineStr">
        <is>
          <t>NJ</t>
        </is>
      </c>
      <c r="E641" t="inlineStr">
        <is>
          <t>Newark</t>
        </is>
      </c>
      <c r="F641" t="inlineStr">
        <is>
          <t>Partner</t>
        </is>
      </c>
      <c r="G641" t="inlineStr">
        <is>
          <t>Consumer</t>
        </is>
      </c>
      <c r="H641" t="inlineStr">
        <is>
          <t>Office Supplies</t>
        </is>
      </c>
      <c r="I641" t="inlineStr">
        <is>
          <t>Paper</t>
        </is>
      </c>
      <c r="J641" s="2" t="n">
        <v>1</v>
      </c>
      <c r="K641" s="3" t="n">
        <v>6.95</v>
      </c>
      <c r="L641" s="3" t="n">
        <v>6.95</v>
      </c>
      <c r="M641" s="3" t="n">
        <v>4.22</v>
      </c>
      <c r="N641" s="3" t="n">
        <v>2.73</v>
      </c>
    </row>
    <row r="642">
      <c r="A642" t="inlineStr">
        <is>
          <t>SO-2504-10640</t>
        </is>
      </c>
      <c r="B642" s="1" t="n">
        <v>45771</v>
      </c>
      <c r="C642" t="inlineStr">
        <is>
          <t>South</t>
        </is>
      </c>
      <c r="D642" t="inlineStr">
        <is>
          <t>TN</t>
        </is>
      </c>
      <c r="E642" t="inlineStr">
        <is>
          <t>Nashville</t>
        </is>
      </c>
      <c r="F642" t="inlineStr">
        <is>
          <t>In-Store</t>
        </is>
      </c>
      <c r="G642" t="inlineStr">
        <is>
          <t>Small Business</t>
        </is>
      </c>
      <c r="H642" t="inlineStr">
        <is>
          <t>Furniture</t>
        </is>
      </c>
      <c r="I642" t="inlineStr">
        <is>
          <t>Standing Desk</t>
        </is>
      </c>
      <c r="J642" s="2" t="n">
        <v>2</v>
      </c>
      <c r="K642" s="3" t="n">
        <v>282.68</v>
      </c>
      <c r="L642" s="3" t="n">
        <v>565.36</v>
      </c>
      <c r="M642" s="3" t="n">
        <v>370.77</v>
      </c>
      <c r="N642" s="3" t="n">
        <v>194.59</v>
      </c>
    </row>
    <row r="643">
      <c r="A643" t="inlineStr">
        <is>
          <t>SO-2401-10641</t>
        </is>
      </c>
      <c r="B643" s="1" t="n">
        <v>45317</v>
      </c>
      <c r="C643" t="inlineStr">
        <is>
          <t>West</t>
        </is>
      </c>
      <c r="D643" t="inlineStr">
        <is>
          <t>WA</t>
        </is>
      </c>
      <c r="E643" t="inlineStr">
        <is>
          <t>Seattle</t>
        </is>
      </c>
      <c r="F643" t="inlineStr">
        <is>
          <t>In-Store</t>
        </is>
      </c>
      <c r="G643" t="inlineStr">
        <is>
          <t>Small Business</t>
        </is>
      </c>
      <c r="H643" t="inlineStr">
        <is>
          <t>Office Supplies</t>
        </is>
      </c>
      <c r="I643" t="inlineStr">
        <is>
          <t>Binders</t>
        </is>
      </c>
      <c r="J643" s="2" t="n">
        <v>1</v>
      </c>
      <c r="K643" s="3" t="n">
        <v>10.41</v>
      </c>
      <c r="L643" s="3" t="n">
        <v>10.41</v>
      </c>
      <c r="M643" s="3" t="n">
        <v>7.09</v>
      </c>
      <c r="N643" s="3" t="n">
        <v>3.32</v>
      </c>
    </row>
    <row r="644">
      <c r="A644" t="inlineStr">
        <is>
          <t>SO-2511-10642</t>
        </is>
      </c>
      <c r="B644" s="1" t="n">
        <v>45990</v>
      </c>
      <c r="C644" t="inlineStr">
        <is>
          <t>West</t>
        </is>
      </c>
      <c r="D644" t="inlineStr">
        <is>
          <t>AZ</t>
        </is>
      </c>
      <c r="E644" t="inlineStr">
        <is>
          <t>Phoenix</t>
        </is>
      </c>
      <c r="F644" t="inlineStr">
        <is>
          <t>Partner</t>
        </is>
      </c>
      <c r="G644" t="inlineStr">
        <is>
          <t>Consumer</t>
        </is>
      </c>
      <c r="H644" t="inlineStr">
        <is>
          <t>Office Supplies</t>
        </is>
      </c>
      <c r="I644" t="inlineStr">
        <is>
          <t>Stapler</t>
        </is>
      </c>
      <c r="J644" s="2" t="n">
        <v>4</v>
      </c>
      <c r="K644" s="3" t="n">
        <v>13.97</v>
      </c>
      <c r="L644" s="3" t="n">
        <v>55.88</v>
      </c>
      <c r="M644" s="3" t="n">
        <v>34.66</v>
      </c>
      <c r="N644" s="3" t="n">
        <v>21.22</v>
      </c>
    </row>
    <row r="645">
      <c r="A645" t="inlineStr">
        <is>
          <t>SO-2504-10643</t>
        </is>
      </c>
      <c r="B645" s="1" t="n">
        <v>45757</v>
      </c>
      <c r="C645" t="inlineStr">
        <is>
          <t>South</t>
        </is>
      </c>
      <c r="D645" t="inlineStr">
        <is>
          <t>AL</t>
        </is>
      </c>
      <c r="E645" t="inlineStr">
        <is>
          <t>Birmingham</t>
        </is>
      </c>
      <c r="F645" t="inlineStr">
        <is>
          <t>Partner</t>
        </is>
      </c>
      <c r="G645" t="inlineStr">
        <is>
          <t>Corporate</t>
        </is>
      </c>
      <c r="H645" t="inlineStr">
        <is>
          <t>Technology</t>
        </is>
      </c>
      <c r="I645" t="inlineStr">
        <is>
          <t>Laptop Stand</t>
        </is>
      </c>
      <c r="J645" s="2" t="n">
        <v>2</v>
      </c>
      <c r="K645" s="3" t="n">
        <v>27.32</v>
      </c>
      <c r="L645" s="3" t="n">
        <v>54.64</v>
      </c>
      <c r="M645" s="3" t="n">
        <v>39.29</v>
      </c>
      <c r="N645" s="3" t="n">
        <v>15.35</v>
      </c>
    </row>
    <row r="646">
      <c r="A646" t="inlineStr">
        <is>
          <t>SO-2502-10644</t>
        </is>
      </c>
      <c r="B646" s="1" t="n">
        <v>45715</v>
      </c>
      <c r="C646" t="inlineStr">
        <is>
          <t>Midwest</t>
        </is>
      </c>
      <c r="D646" t="inlineStr">
        <is>
          <t>MN</t>
        </is>
      </c>
      <c r="E646" t="inlineStr">
        <is>
          <t>Minneapolis</t>
        </is>
      </c>
      <c r="F646" t="inlineStr">
        <is>
          <t>Partner</t>
        </is>
      </c>
      <c r="G646" t="inlineStr">
        <is>
          <t>Corporate</t>
        </is>
      </c>
      <c r="H646" t="inlineStr">
        <is>
          <t>Office Supplies</t>
        </is>
      </c>
      <c r="I646" t="inlineStr">
        <is>
          <t>Pens</t>
        </is>
      </c>
      <c r="J646" s="2" t="n">
        <v>4</v>
      </c>
      <c r="K646" s="3" t="n">
        <v>3.91</v>
      </c>
      <c r="L646" s="3" t="n">
        <v>15.64</v>
      </c>
      <c r="M646" s="3" t="n">
        <v>9.82</v>
      </c>
      <c r="N646" s="3" t="n">
        <v>5.82</v>
      </c>
    </row>
    <row r="647">
      <c r="A647" t="inlineStr">
        <is>
          <t>SO-2402-10645</t>
        </is>
      </c>
      <c r="B647" s="1" t="n">
        <v>45330</v>
      </c>
      <c r="C647" t="inlineStr">
        <is>
          <t>West</t>
        </is>
      </c>
      <c r="D647" t="inlineStr">
        <is>
          <t>WA</t>
        </is>
      </c>
      <c r="E647" t="inlineStr">
        <is>
          <t>Seattle</t>
        </is>
      </c>
      <c r="F647" t="inlineStr">
        <is>
          <t>In-Store</t>
        </is>
      </c>
      <c r="G647" t="inlineStr">
        <is>
          <t>Small Business</t>
        </is>
      </c>
      <c r="H647" t="inlineStr">
        <is>
          <t>Office Supplies</t>
        </is>
      </c>
      <c r="I647" t="inlineStr">
        <is>
          <t>Stapler</t>
        </is>
      </c>
      <c r="J647" s="2" t="n">
        <v>3</v>
      </c>
      <c r="K647" s="3" t="n">
        <v>12.33</v>
      </c>
      <c r="L647" s="3" t="n">
        <v>36.99</v>
      </c>
      <c r="M647" s="3" t="n">
        <v>22.48</v>
      </c>
      <c r="N647" s="3" t="n">
        <v>14.51</v>
      </c>
    </row>
    <row r="648">
      <c r="A648" t="inlineStr">
        <is>
          <t>SO-2411-10646</t>
        </is>
      </c>
      <c r="B648" s="1" t="n">
        <v>45597</v>
      </c>
      <c r="C648" t="inlineStr">
        <is>
          <t>Northeast</t>
        </is>
      </c>
      <c r="D648" t="inlineStr">
        <is>
          <t>NY</t>
        </is>
      </c>
      <c r="E648" t="inlineStr">
        <is>
          <t>New York</t>
        </is>
      </c>
      <c r="F648" t="inlineStr">
        <is>
          <t>In-Store</t>
        </is>
      </c>
      <c r="G648" t="inlineStr">
        <is>
          <t>Small Business</t>
        </is>
      </c>
      <c r="H648" t="inlineStr">
        <is>
          <t>Office Supplies</t>
        </is>
      </c>
      <c r="I648" t="inlineStr">
        <is>
          <t>Paper</t>
        </is>
      </c>
      <c r="J648" s="2" t="n">
        <v>6</v>
      </c>
      <c r="K648" s="3" t="n">
        <v>6.67</v>
      </c>
      <c r="L648" s="3" t="n">
        <v>40.02</v>
      </c>
      <c r="M648" s="3" t="n">
        <v>26.71</v>
      </c>
      <c r="N648" s="3" t="n">
        <v>13.31</v>
      </c>
    </row>
    <row r="649">
      <c r="A649" t="inlineStr">
        <is>
          <t>SO-2506-10647</t>
        </is>
      </c>
      <c r="B649" s="1" t="n">
        <v>45832</v>
      </c>
      <c r="C649" t="inlineStr">
        <is>
          <t>West</t>
        </is>
      </c>
      <c r="D649" t="inlineStr">
        <is>
          <t>CA</t>
        </is>
      </c>
      <c r="E649" t="inlineStr">
        <is>
          <t>Los Angeles</t>
        </is>
      </c>
      <c r="F649" t="inlineStr">
        <is>
          <t>Partner</t>
        </is>
      </c>
      <c r="G649" t="inlineStr">
        <is>
          <t>Corporate</t>
        </is>
      </c>
      <c r="H649" t="inlineStr">
        <is>
          <t>Office Supplies</t>
        </is>
      </c>
      <c r="I649" t="inlineStr">
        <is>
          <t>Paper</t>
        </is>
      </c>
      <c r="J649" s="2" t="n">
        <v>5</v>
      </c>
      <c r="K649" s="3" t="n">
        <v>6.3</v>
      </c>
      <c r="L649" s="3" t="n">
        <v>31.5</v>
      </c>
      <c r="M649" s="3" t="n">
        <v>18.3</v>
      </c>
      <c r="N649" s="3" t="n">
        <v>13.2</v>
      </c>
    </row>
    <row r="650">
      <c r="A650" t="inlineStr">
        <is>
          <t>SO-2402-10648</t>
        </is>
      </c>
      <c r="B650" s="1" t="n">
        <v>45327</v>
      </c>
      <c r="C650" t="inlineStr">
        <is>
          <t>Midwest</t>
        </is>
      </c>
      <c r="D650" t="inlineStr">
        <is>
          <t>IL</t>
        </is>
      </c>
      <c r="E650" t="inlineStr">
        <is>
          <t>Chicago</t>
        </is>
      </c>
      <c r="F650" t="inlineStr">
        <is>
          <t>Partner</t>
        </is>
      </c>
      <c r="G650" t="inlineStr">
        <is>
          <t>Corporate</t>
        </is>
      </c>
      <c r="H650" t="inlineStr">
        <is>
          <t>Office Supplies</t>
        </is>
      </c>
      <c r="I650" t="inlineStr">
        <is>
          <t>Binders</t>
        </is>
      </c>
      <c r="J650" s="2" t="n">
        <v>2</v>
      </c>
      <c r="K650" s="3" t="n">
        <v>10.45</v>
      </c>
      <c r="L650" s="3" t="n">
        <v>20.9</v>
      </c>
      <c r="M650" s="3" t="n">
        <v>12.2</v>
      </c>
      <c r="N650" s="3" t="n">
        <v>8.699999999999999</v>
      </c>
    </row>
    <row r="651">
      <c r="A651" t="inlineStr">
        <is>
          <t>SO-2412-10649</t>
        </is>
      </c>
      <c r="B651" s="1" t="n">
        <v>45647</v>
      </c>
      <c r="C651" t="inlineStr">
        <is>
          <t>Midwest</t>
        </is>
      </c>
      <c r="D651" t="inlineStr">
        <is>
          <t>MI</t>
        </is>
      </c>
      <c r="E651" t="inlineStr">
        <is>
          <t>Detroit</t>
        </is>
      </c>
      <c r="F651" t="inlineStr">
        <is>
          <t>Online</t>
        </is>
      </c>
      <c r="G651" t="inlineStr">
        <is>
          <t>Small Business</t>
        </is>
      </c>
      <c r="H651" t="inlineStr">
        <is>
          <t>Technology</t>
        </is>
      </c>
      <c r="I651" t="inlineStr">
        <is>
          <t>Keyboard</t>
        </is>
      </c>
      <c r="J651" s="2" t="n">
        <v>2</v>
      </c>
      <c r="K651" s="3" t="n">
        <v>37.19</v>
      </c>
      <c r="L651" s="3" t="n">
        <v>74.38</v>
      </c>
      <c r="M651" s="3" t="n">
        <v>46.76</v>
      </c>
      <c r="N651" s="3" t="n">
        <v>27.62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4" max="4"/>
    <col width="12" customWidth="1" min="5" max="5"/>
    <col width="12" customWidth="1" min="6" max="6"/>
  </cols>
  <sheetData>
    <row r="1">
      <c r="A1" s="4" t="inlineStr">
        <is>
          <t>Sales KPI Dashboard</t>
        </is>
      </c>
    </row>
    <row r="3">
      <c r="A3" s="5" t="inlineStr">
        <is>
          <t>Total Revenue</t>
        </is>
      </c>
      <c r="B3" s="6">
        <f>SUM(SalesTable[Revenue])</f>
        <v/>
      </c>
      <c r="D3" s="5" t="inlineStr">
        <is>
          <t>Monthly Revenue &amp; Profit</t>
        </is>
      </c>
    </row>
    <row r="4">
      <c r="A4" s="5" t="inlineStr">
        <is>
          <t>Total Profit</t>
        </is>
      </c>
      <c r="B4" s="6">
        <f>SUM(SalesTable[Profit])</f>
        <v/>
      </c>
      <c r="D4" s="7" t="inlineStr">
        <is>
          <t>Month</t>
        </is>
      </c>
      <c r="E4" s="7" t="inlineStr">
        <is>
          <t>Revenue</t>
        </is>
      </c>
      <c r="F4" s="7" t="inlineStr">
        <is>
          <t>Profit</t>
        </is>
      </c>
    </row>
    <row r="5">
      <c r="A5" s="5" t="inlineStr">
        <is>
          <t>Profit Margin</t>
        </is>
      </c>
      <c r="B5" s="8">
        <f>IFERROR(SUM(SalesTable[Profit])/SUM(SalesTable[Revenue]),0)</f>
        <v/>
      </c>
      <c r="D5" s="9" t="n">
        <v>45292</v>
      </c>
      <c r="E5" s="6">
        <f>SUMIFS(SalesTable[Revenue],SalesTable[OrderDate],"&gt;="&amp;DATE(2024,1,1),SalesTable[OrderDate],"&lt;"&amp;DATE(2024,2,1))</f>
        <v/>
      </c>
      <c r="F5" s="6">
        <f>SUMIFS(SalesTable[Profit],SalesTable[OrderDate],"&gt;="&amp;DATE(2024,1,1),SalesTable[OrderDate],"&lt;"&amp;DATE(2024,2,1))</f>
        <v/>
      </c>
    </row>
    <row r="6">
      <c r="A6" s="5" t="inlineStr">
        <is>
          <t>Total Orders</t>
        </is>
      </c>
      <c r="B6" s="10">
        <f>COUNTA(SalesTable[OrderID])</f>
        <v/>
      </c>
      <c r="D6" s="9" t="n">
        <v>45323</v>
      </c>
      <c r="E6" s="6">
        <f>SUMIFS(SalesTable[Revenue],SalesTable[OrderDate],"&gt;="&amp;DATE(2024,2,1),SalesTable[OrderDate],"&lt;"&amp;DATE(2024,3,1))</f>
        <v/>
      </c>
      <c r="F6" s="6">
        <f>SUMIFS(SalesTable[Profit],SalesTable[OrderDate],"&gt;="&amp;DATE(2024,2,1),SalesTable[OrderDate],"&lt;"&amp;DATE(2024,3,1))</f>
        <v/>
      </c>
    </row>
    <row r="7">
      <c r="A7" s="5" t="inlineStr">
        <is>
          <t>Avg Order Value</t>
        </is>
      </c>
      <c r="B7" s="6">
        <f>IFERROR(SUM(SalesTable[Revenue])/COUNTA(SalesTable[OrderID]),0)</f>
        <v/>
      </c>
      <c r="D7" s="9" t="n">
        <v>45352</v>
      </c>
      <c r="E7" s="6">
        <f>SUMIFS(SalesTable[Revenue],SalesTable[OrderDate],"&gt;="&amp;DATE(2024,3,1),SalesTable[OrderDate],"&lt;"&amp;DATE(2024,4,1))</f>
        <v/>
      </c>
      <c r="F7" s="6">
        <f>SUMIFS(SalesTable[Profit],SalesTable[OrderDate],"&gt;="&amp;DATE(2024,3,1),SalesTable[OrderDate],"&lt;"&amp;DATE(2024,4,1))</f>
        <v/>
      </c>
    </row>
    <row r="8">
      <c r="D8" s="9" t="n">
        <v>45383</v>
      </c>
      <c r="E8" s="6">
        <f>SUMIFS(SalesTable[Revenue],SalesTable[OrderDate],"&gt;="&amp;DATE(2024,4,1),SalesTable[OrderDate],"&lt;"&amp;DATE(2024,5,1))</f>
        <v/>
      </c>
      <c r="F8" s="6">
        <f>SUMIFS(SalesTable[Profit],SalesTable[OrderDate],"&gt;="&amp;DATE(2024,4,1),SalesTable[OrderDate],"&lt;"&amp;DATE(2024,5,1))</f>
        <v/>
      </c>
    </row>
    <row r="9">
      <c r="D9" s="9" t="n">
        <v>45413</v>
      </c>
      <c r="E9" s="6">
        <f>SUMIFS(SalesTable[Revenue],SalesTable[OrderDate],"&gt;="&amp;DATE(2024,5,1),SalesTable[OrderDate],"&lt;"&amp;DATE(2024,6,1))</f>
        <v/>
      </c>
      <c r="F9" s="6">
        <f>SUMIFS(SalesTable[Profit],SalesTable[OrderDate],"&gt;="&amp;DATE(2024,5,1),SalesTable[OrderDate],"&lt;"&amp;DATE(2024,6,1))</f>
        <v/>
      </c>
    </row>
    <row r="10">
      <c r="A10" s="5" t="inlineStr">
        <is>
          <t>Profit by Region</t>
        </is>
      </c>
      <c r="D10" s="9" t="n">
        <v>45444</v>
      </c>
      <c r="E10" s="6">
        <f>SUMIFS(SalesTable[Revenue],SalesTable[OrderDate],"&gt;="&amp;DATE(2024,6,1),SalesTable[OrderDate],"&lt;"&amp;DATE(2024,7,1))</f>
        <v/>
      </c>
      <c r="F10" s="6">
        <f>SUMIFS(SalesTable[Profit],SalesTable[OrderDate],"&gt;="&amp;DATE(2024,6,1),SalesTable[OrderDate],"&lt;"&amp;DATE(2024,7,1))</f>
        <v/>
      </c>
    </row>
    <row r="11">
      <c r="A11" s="7" t="inlineStr">
        <is>
          <t>Region</t>
        </is>
      </c>
      <c r="B11" s="7" t="inlineStr">
        <is>
          <t>Profit</t>
        </is>
      </c>
      <c r="D11" s="9" t="n">
        <v>45474</v>
      </c>
      <c r="E11" s="6">
        <f>SUMIFS(SalesTable[Revenue],SalesTable[OrderDate],"&gt;="&amp;DATE(2024,7,1),SalesTable[OrderDate],"&lt;"&amp;DATE(2024,8,1))</f>
        <v/>
      </c>
      <c r="F11" s="6">
        <f>SUMIFS(SalesTable[Profit],SalesTable[OrderDate],"&gt;="&amp;DATE(2024,7,1),SalesTable[OrderDate],"&lt;"&amp;DATE(2024,8,1))</f>
        <v/>
      </c>
    </row>
    <row r="12">
      <c r="A12" s="11" t="inlineStr">
        <is>
          <t>South</t>
        </is>
      </c>
      <c r="B12" s="6">
        <f>SUMIFS(SalesTable[Profit],SalesTable[Region],"South")</f>
        <v/>
      </c>
      <c r="D12" s="9" t="n">
        <v>45505</v>
      </c>
      <c r="E12" s="6">
        <f>SUMIFS(SalesTable[Revenue],SalesTable[OrderDate],"&gt;="&amp;DATE(2024,8,1),SalesTable[OrderDate],"&lt;"&amp;DATE(2024,9,1))</f>
        <v/>
      </c>
      <c r="F12" s="6">
        <f>SUMIFS(SalesTable[Profit],SalesTable[OrderDate],"&gt;="&amp;DATE(2024,8,1),SalesTable[OrderDate],"&lt;"&amp;DATE(2024,9,1))</f>
        <v/>
      </c>
    </row>
    <row r="13">
      <c r="A13" s="11" t="inlineStr">
        <is>
          <t>Northeast</t>
        </is>
      </c>
      <c r="B13" s="6">
        <f>SUMIFS(SalesTable[Profit],SalesTable[Region],"Northeast")</f>
        <v/>
      </c>
      <c r="D13" s="9" t="n">
        <v>45536</v>
      </c>
      <c r="E13" s="6">
        <f>SUMIFS(SalesTable[Revenue],SalesTable[OrderDate],"&gt;="&amp;DATE(2024,9,1),SalesTable[OrderDate],"&lt;"&amp;DATE(2024,10,1))</f>
        <v/>
      </c>
      <c r="F13" s="6">
        <f>SUMIFS(SalesTable[Profit],SalesTable[OrderDate],"&gt;="&amp;DATE(2024,9,1),SalesTable[OrderDate],"&lt;"&amp;DATE(2024,10,1))</f>
        <v/>
      </c>
    </row>
    <row r="14">
      <c r="A14" s="11" t="inlineStr">
        <is>
          <t>Midwest</t>
        </is>
      </c>
      <c r="B14" s="6">
        <f>SUMIFS(SalesTable[Profit],SalesTable[Region],"Midwest")</f>
        <v/>
      </c>
      <c r="D14" s="9" t="n">
        <v>45566</v>
      </c>
      <c r="E14" s="6">
        <f>SUMIFS(SalesTable[Revenue],SalesTable[OrderDate],"&gt;="&amp;DATE(2024,10,1),SalesTable[OrderDate],"&lt;"&amp;DATE(2024,11,1))</f>
        <v/>
      </c>
      <c r="F14" s="6">
        <f>SUMIFS(SalesTable[Profit],SalesTable[OrderDate],"&gt;="&amp;DATE(2024,10,1),SalesTable[OrderDate],"&lt;"&amp;DATE(2024,11,1))</f>
        <v/>
      </c>
    </row>
    <row r="15">
      <c r="A15" s="11" t="inlineStr">
        <is>
          <t>West</t>
        </is>
      </c>
      <c r="B15" s="6">
        <f>SUMIFS(SalesTable[Profit],SalesTable[Region],"West")</f>
        <v/>
      </c>
      <c r="D15" s="9" t="n">
        <v>45597</v>
      </c>
      <c r="E15" s="6">
        <f>SUMIFS(SalesTable[Revenue],SalesTable[OrderDate],"&gt;="&amp;DATE(2024,11,1),SalesTable[OrderDate],"&lt;"&amp;DATE(2024,12,1))</f>
        <v/>
      </c>
      <c r="F15" s="6">
        <f>SUMIFS(SalesTable[Profit],SalesTable[OrderDate],"&gt;="&amp;DATE(2024,11,1),SalesTable[OrderDate],"&lt;"&amp;DATE(2024,12,1))</f>
        <v/>
      </c>
    </row>
    <row r="16">
      <c r="D16" s="9" t="n">
        <v>45627</v>
      </c>
      <c r="E16" s="6">
        <f>SUMIFS(SalesTable[Revenue],SalesTable[OrderDate],"&gt;="&amp;DATE(2024,12,1),SalesTable[OrderDate],"&lt;"&amp;DATE(2025,1,1))</f>
        <v/>
      </c>
      <c r="F16" s="6">
        <f>SUMIFS(SalesTable[Profit],SalesTable[OrderDate],"&gt;="&amp;DATE(2024,12,1),SalesTable[OrderDate],"&lt;"&amp;DATE(2025,1,1))</f>
        <v/>
      </c>
    </row>
    <row r="17">
      <c r="D17" s="9" t="n">
        <v>45658</v>
      </c>
      <c r="E17" s="6">
        <f>SUMIFS(SalesTable[Revenue],SalesTable[OrderDate],"&gt;="&amp;DATE(2025,1,1),SalesTable[OrderDate],"&lt;"&amp;DATE(2025,2,1))</f>
        <v/>
      </c>
      <c r="F17" s="6">
        <f>SUMIFS(SalesTable[Profit],SalesTable[OrderDate],"&gt;="&amp;DATE(2025,1,1),SalesTable[OrderDate],"&lt;"&amp;DATE(2025,2,1))</f>
        <v/>
      </c>
    </row>
    <row r="18">
      <c r="D18" s="9" t="n">
        <v>45689</v>
      </c>
      <c r="E18" s="6">
        <f>SUMIFS(SalesTable[Revenue],SalesTable[OrderDate],"&gt;="&amp;DATE(2025,2,1),SalesTable[OrderDate],"&lt;"&amp;DATE(2025,3,1))</f>
        <v/>
      </c>
      <c r="F18" s="6">
        <f>SUMIFS(SalesTable[Profit],SalesTable[OrderDate],"&gt;="&amp;DATE(2025,2,1),SalesTable[OrderDate],"&lt;"&amp;DATE(2025,3,1))</f>
        <v/>
      </c>
    </row>
    <row r="19">
      <c r="D19" s="9" t="n">
        <v>45717</v>
      </c>
      <c r="E19" s="6">
        <f>SUMIFS(SalesTable[Revenue],SalesTable[OrderDate],"&gt;="&amp;DATE(2025,3,1),SalesTable[OrderDate],"&lt;"&amp;DATE(2025,4,1))</f>
        <v/>
      </c>
      <c r="F19" s="6">
        <f>SUMIFS(SalesTable[Profit],SalesTable[OrderDate],"&gt;="&amp;DATE(2025,3,1),SalesTable[OrderDate],"&lt;"&amp;DATE(2025,4,1))</f>
        <v/>
      </c>
    </row>
    <row r="20">
      <c r="D20" s="9" t="n">
        <v>45748</v>
      </c>
      <c r="E20" s="6">
        <f>SUMIFS(SalesTable[Revenue],SalesTable[OrderDate],"&gt;="&amp;DATE(2025,4,1),SalesTable[OrderDate],"&lt;"&amp;DATE(2025,5,1))</f>
        <v/>
      </c>
      <c r="F20" s="6">
        <f>SUMIFS(SalesTable[Profit],SalesTable[OrderDate],"&gt;="&amp;DATE(2025,4,1),SalesTable[OrderDate],"&lt;"&amp;DATE(2025,5,1))</f>
        <v/>
      </c>
    </row>
    <row r="21">
      <c r="D21" s="9" t="n">
        <v>45778</v>
      </c>
      <c r="E21" s="6">
        <f>SUMIFS(SalesTable[Revenue],SalesTable[OrderDate],"&gt;="&amp;DATE(2025,5,1),SalesTable[OrderDate],"&lt;"&amp;DATE(2025,6,1))</f>
        <v/>
      </c>
      <c r="F21" s="6">
        <f>SUMIFS(SalesTable[Profit],SalesTable[OrderDate],"&gt;="&amp;DATE(2025,5,1),SalesTable[OrderDate],"&lt;"&amp;DATE(2025,6,1))</f>
        <v/>
      </c>
    </row>
    <row r="22">
      <c r="D22" s="9" t="n">
        <v>45809</v>
      </c>
      <c r="E22" s="6">
        <f>SUMIFS(SalesTable[Revenue],SalesTable[OrderDate],"&gt;="&amp;DATE(2025,6,1),SalesTable[OrderDate],"&lt;"&amp;DATE(2025,7,1))</f>
        <v/>
      </c>
      <c r="F22" s="6">
        <f>SUMIFS(SalesTable[Profit],SalesTable[OrderDate],"&gt;="&amp;DATE(2025,6,1),SalesTable[OrderDate],"&lt;"&amp;DATE(2025,7,1))</f>
        <v/>
      </c>
    </row>
    <row r="23">
      <c r="D23" s="9" t="n">
        <v>45839</v>
      </c>
      <c r="E23" s="6">
        <f>SUMIFS(SalesTable[Revenue],SalesTable[OrderDate],"&gt;="&amp;DATE(2025,7,1),SalesTable[OrderDate],"&lt;"&amp;DATE(2025,8,1))</f>
        <v/>
      </c>
      <c r="F23" s="6">
        <f>SUMIFS(SalesTable[Profit],SalesTable[OrderDate],"&gt;="&amp;DATE(2025,7,1),SalesTable[OrderDate],"&lt;"&amp;DATE(2025,8,1))</f>
        <v/>
      </c>
    </row>
    <row r="24">
      <c r="D24" s="9" t="n">
        <v>45870</v>
      </c>
      <c r="E24" s="6">
        <f>SUMIFS(SalesTable[Revenue],SalesTable[OrderDate],"&gt;="&amp;DATE(2025,8,1),SalesTable[OrderDate],"&lt;"&amp;DATE(2025,9,1))</f>
        <v/>
      </c>
      <c r="F24" s="6">
        <f>SUMIFS(SalesTable[Profit],SalesTable[OrderDate],"&gt;="&amp;DATE(2025,8,1),SalesTable[OrderDate],"&lt;"&amp;DATE(2025,9,1))</f>
        <v/>
      </c>
    </row>
    <row r="25">
      <c r="D25" s="9" t="n">
        <v>45901</v>
      </c>
      <c r="E25" s="6">
        <f>SUMIFS(SalesTable[Revenue],SalesTable[OrderDate],"&gt;="&amp;DATE(2025,9,1),SalesTable[OrderDate],"&lt;"&amp;DATE(2025,10,1))</f>
        <v/>
      </c>
      <c r="F25" s="6">
        <f>SUMIFS(SalesTable[Profit],SalesTable[OrderDate],"&gt;="&amp;DATE(2025,9,1),SalesTable[OrderDate],"&lt;"&amp;DATE(2025,10,1))</f>
        <v/>
      </c>
    </row>
    <row r="26">
      <c r="D26" s="9" t="n">
        <v>45931</v>
      </c>
      <c r="E26" s="6">
        <f>SUMIFS(SalesTable[Revenue],SalesTable[OrderDate],"&gt;="&amp;DATE(2025,10,1),SalesTable[OrderDate],"&lt;"&amp;DATE(2025,11,1))</f>
        <v/>
      </c>
      <c r="F26" s="6">
        <f>SUMIFS(SalesTable[Profit],SalesTable[OrderDate],"&gt;="&amp;DATE(2025,10,1),SalesTable[OrderDate],"&lt;"&amp;DATE(2025,11,1))</f>
        <v/>
      </c>
    </row>
    <row r="27">
      <c r="D27" s="9" t="n">
        <v>45962</v>
      </c>
      <c r="E27" s="6">
        <f>SUMIFS(SalesTable[Revenue],SalesTable[OrderDate],"&gt;="&amp;DATE(2025,11,1),SalesTable[OrderDate],"&lt;"&amp;DATE(2025,12,1))</f>
        <v/>
      </c>
      <c r="F27" s="6">
        <f>SUMIFS(SalesTable[Profit],SalesTable[OrderDate],"&gt;="&amp;DATE(2025,11,1),SalesTable[OrderDate],"&lt;"&amp;DATE(2025,12,1))</f>
        <v/>
      </c>
    </row>
    <row r="28">
      <c r="D28" s="9" t="n">
        <v>45992</v>
      </c>
      <c r="E28" s="6">
        <f>SUMIFS(SalesTable[Revenue],SalesTable[OrderDate],"&gt;="&amp;DATE(2025,12,1),SalesTable[OrderDate],"&lt;"&amp;DATE(2026,1,1))</f>
        <v/>
      </c>
      <c r="F28" s="6">
        <f>SUMIFS(SalesTable[Profit],SalesTable[OrderDate],"&gt;="&amp;DATE(2025,12,1),SalesTable[OrderDate],"&lt;"&amp;DATE(2026,1,1))</f>
        <v/>
      </c>
    </row>
  </sheetData>
  <mergeCells count="3">
    <mergeCell ref="D3:F3"/>
    <mergeCell ref="A1:F1"/>
    <mergeCell ref="A10:B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2026-02-11T08:12:20Z</dcterms:created>
  <dcterms:modified xmlns:dcterms="http://purl.org/dc/terms/" xmlns:xsi="http://www.w3.org/2001/XMLSchema-instance" xsi:type="dcterms:W3CDTF">2026-02-11T08:12:20Z</dcterms:modified>
</cp:coreProperties>
</file>